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au125806\Documents\Codex\2026-10-01\hi\"/>
    </mc:Choice>
  </mc:AlternateContent>
  <xr:revisionPtr revIDLastSave="0" documentId="13_ncr:1_{5B9D1A17-BAD3-4890-8AA9-90DCB09104D6}" xr6:coauthVersionLast="47" xr6:coauthVersionMax="47" xr10:uidLastSave="{00000000-0000-0000-0000-000000000000}"/>
  <bookViews>
    <workbookView xWindow="-120" yWindow="-120" windowWidth="29040" windowHeight="15720" activeTab="1" xr2:uid="{E3BE2582-B68D-4E2C-B7FF-812B09B46B81}"/>
  </bookViews>
  <sheets>
    <sheet name="Oureprofiles" sheetId="8" r:id="rId1"/>
    <sheet name="sæ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J6" i="6"/>
  <c r="D6" i="6"/>
  <c r="I170" i="6" a="1"/>
  <c r="C170" i="6" a="1"/>
  <c r="I169" i="6" a="1"/>
  <c r="C169" i="6" a="1"/>
  <c r="I168" i="6" a="1"/>
  <c r="C168" i="6" a="1"/>
  <c r="I167" i="6" a="1"/>
  <c r="C167" i="6" a="1"/>
  <c r="I166" i="6" a="1"/>
  <c r="C166" i="6" a="1"/>
  <c r="I165" i="6" a="1"/>
  <c r="C165" i="6" a="1"/>
  <c r="I164" i="6" a="1"/>
  <c r="C164" i="6" a="1"/>
  <c r="I163" i="6" a="1"/>
  <c r="C163" i="6" a="1"/>
  <c r="I162" i="6" a="1"/>
  <c r="C162" i="6" a="1"/>
  <c r="I161" i="6" a="1"/>
  <c r="C161" i="6" a="1"/>
  <c r="I160" i="6" a="1"/>
  <c r="C160" i="6" a="1"/>
  <c r="I159" i="6" a="1"/>
  <c r="C159" i="6" a="1"/>
  <c r="I158" i="6" a="1"/>
  <c r="C158" i="6" a="1"/>
  <c r="I157" i="6" a="1"/>
  <c r="C157" i="6" a="1"/>
  <c r="I156" i="6" a="1"/>
  <c r="C156" i="6" a="1"/>
  <c r="I155" i="6" a="1"/>
  <c r="C155" i="6" a="1"/>
  <c r="I154" i="6" a="1"/>
  <c r="C154" i="6" a="1"/>
  <c r="I153" i="6" a="1"/>
  <c r="C153" i="6" a="1"/>
  <c r="I152" i="6" a="1"/>
  <c r="C152" i="6" a="1"/>
  <c r="I151" i="6" a="1"/>
  <c r="C151" i="6" a="1"/>
  <c r="I150" i="6" a="1"/>
  <c r="C150" i="6" a="1"/>
  <c r="I149" i="6" a="1"/>
  <c r="C149" i="6" a="1"/>
  <c r="I148" i="6" a="1"/>
  <c r="C148" i="6" a="1"/>
  <c r="I147" i="6" a="1"/>
  <c r="C147" i="6" a="1"/>
  <c r="I146" i="6" a="1"/>
  <c r="C146" i="6" a="1"/>
  <c r="I145" i="6" a="1"/>
  <c r="C145" i="6" a="1"/>
  <c r="I144" i="6" a="1"/>
  <c r="C144" i="6" a="1"/>
  <c r="I143" i="6" a="1"/>
  <c r="C143" i="6" a="1"/>
  <c r="I142" i="6" a="1"/>
  <c r="C142" i="6" a="1"/>
  <c r="I141" i="6" a="1"/>
  <c r="C141" i="6" a="1"/>
  <c r="I140" i="6" a="1"/>
  <c r="C140" i="6" a="1"/>
  <c r="I139" i="6" a="1"/>
  <c r="C139" i="6" a="1"/>
  <c r="I138" i="6" a="1"/>
  <c r="C138" i="6" a="1"/>
  <c r="I137" i="6" a="1"/>
  <c r="C137" i="6" a="1"/>
  <c r="J136" i="6" a="1"/>
  <c r="I136" i="6" a="1"/>
  <c r="C136" i="6" a="1"/>
  <c r="J135" i="6" a="1"/>
  <c r="I135" i="6" a="1"/>
  <c r="C135" i="6" a="1"/>
  <c r="J134" i="6" a="1"/>
  <c r="I134" i="6" a="1"/>
  <c r="C134" i="6" a="1"/>
  <c r="J133" i="6" a="1"/>
  <c r="C133" i="6" a="1"/>
  <c r="C132" i="6" a="1"/>
  <c r="I131" i="6" a="1"/>
  <c r="C131" i="6" a="1"/>
  <c r="I130" i="6" a="1"/>
  <c r="C130" i="6" a="1"/>
  <c r="I129" i="6" a="1"/>
  <c r="C129" i="6" a="1"/>
  <c r="I128" i="6" a="1"/>
  <c r="C128" i="6" a="1"/>
  <c r="I127" i="6" a="1"/>
  <c r="C127" i="6" a="1"/>
  <c r="I126" i="6" a="1"/>
  <c r="C126" i="6" a="1"/>
  <c r="I125" i="6" a="1"/>
  <c r="C125" i="6" a="1"/>
  <c r="J124" i="6" a="1"/>
  <c r="I124" i="6" a="1"/>
  <c r="C124" i="6" a="1"/>
  <c r="J123" i="6" a="1"/>
  <c r="I123" i="6" a="1"/>
  <c r="C123" i="6" a="1"/>
  <c r="J122" i="6" a="1"/>
  <c r="I122" i="6" a="1"/>
  <c r="C122" i="6" a="1"/>
  <c r="J121" i="6" a="1"/>
  <c r="I121" i="6" a="1"/>
  <c r="C121" i="6" a="1"/>
  <c r="J120" i="6" a="1"/>
  <c r="I120" i="6" a="1"/>
  <c r="C120" i="6" a="1"/>
  <c r="J119" i="6" a="1"/>
  <c r="I119" i="6" a="1"/>
  <c r="C119" i="6" a="1"/>
  <c r="J118" i="6" a="1"/>
  <c r="I118" i="6" a="1"/>
  <c r="C118" i="6" a="1"/>
  <c r="J117" i="6" a="1"/>
  <c r="I117" i="6" a="1"/>
  <c r="C117" i="6" a="1"/>
  <c r="J116" i="6" a="1"/>
  <c r="I116" i="6" a="1"/>
  <c r="C116" i="6" a="1"/>
  <c r="J115" i="6" a="1"/>
  <c r="I115" i="6" a="1"/>
  <c r="C115" i="6" a="1"/>
  <c r="J114" i="6" a="1"/>
  <c r="I114" i="6" a="1"/>
  <c r="C114" i="6" a="1"/>
  <c r="J113" i="6" a="1"/>
  <c r="I113" i="6" a="1"/>
  <c r="C113" i="6" a="1"/>
  <c r="J112" i="6" a="1"/>
  <c r="I112" i="6" a="1"/>
  <c r="C112" i="6" a="1"/>
  <c r="J111" i="6" a="1"/>
  <c r="I111" i="6" a="1"/>
  <c r="C111" i="6" a="1"/>
  <c r="J110" i="6" a="1"/>
  <c r="I110" i="6" a="1"/>
  <c r="C110" i="6" a="1"/>
  <c r="J109" i="6" a="1"/>
  <c r="I109" i="6" a="1"/>
  <c r="C109" i="6" a="1"/>
  <c r="J108" i="6" a="1"/>
  <c r="I108" i="6" a="1"/>
  <c r="C108" i="6" a="1"/>
  <c r="J107" i="6" a="1"/>
  <c r="I107" i="6" a="1"/>
  <c r="C107" i="6" a="1"/>
  <c r="J106" i="6" a="1"/>
  <c r="I106" i="6" a="1"/>
  <c r="C106" i="6" a="1"/>
  <c r="J105" i="6" a="1"/>
  <c r="I105" i="6" a="1"/>
  <c r="C105" i="6" a="1"/>
  <c r="I104" i="6" a="1"/>
  <c r="C104" i="6" a="1"/>
  <c r="J103" i="6" a="1"/>
  <c r="I103" i="6" a="1"/>
  <c r="C103" i="6" a="1"/>
  <c r="J102" i="6" a="1"/>
  <c r="I102" i="6" a="1"/>
  <c r="C102" i="6" a="1"/>
  <c r="J101" i="6" a="1"/>
  <c r="I101" i="6" a="1"/>
  <c r="C101" i="6" a="1"/>
  <c r="J100" i="6" a="1"/>
  <c r="I100" i="6" a="1"/>
  <c r="C100" i="6" a="1"/>
  <c r="J99" i="6" a="1"/>
  <c r="I99" i="6" a="1"/>
  <c r="C99" i="6" a="1"/>
  <c r="J98" i="6" a="1"/>
  <c r="I98" i="6" a="1"/>
  <c r="C98" i="6" a="1"/>
  <c r="J97" i="6" a="1"/>
  <c r="I97" i="6" a="1"/>
  <c r="C97" i="6" a="1"/>
  <c r="J96" i="6" a="1"/>
  <c r="I96" i="6" a="1"/>
  <c r="C96" i="6" a="1"/>
  <c r="J95" i="6" a="1"/>
  <c r="I95" i="6" a="1"/>
  <c r="C95" i="6" a="1"/>
  <c r="J94" i="6" a="1"/>
  <c r="I94" i="6" a="1"/>
  <c r="C94" i="6" a="1"/>
  <c r="J93" i="6" a="1"/>
  <c r="I93" i="6" a="1"/>
  <c r="C93" i="6" a="1"/>
  <c r="J92" i="6" a="1"/>
  <c r="I92" i="6" a="1"/>
  <c r="C92" i="6" a="1"/>
  <c r="J91" i="6" a="1"/>
  <c r="I91" i="6" a="1"/>
  <c r="C91" i="6" a="1"/>
  <c r="J90" i="6" a="1"/>
  <c r="I90" i="6" a="1"/>
  <c r="C90" i="6" a="1"/>
  <c r="J89" i="6" a="1"/>
  <c r="I89" i="6" a="1"/>
  <c r="C89" i="6" a="1"/>
  <c r="J88" i="6" a="1"/>
  <c r="I88" i="6" a="1"/>
  <c r="C88" i="6" a="1"/>
  <c r="J87" i="6" a="1"/>
  <c r="I87" i="6" a="1"/>
  <c r="C87" i="6" a="1"/>
  <c r="J86" i="6" a="1"/>
  <c r="I86" i="6" a="1"/>
  <c r="C86" i="6" a="1"/>
  <c r="J85" i="6" a="1"/>
  <c r="I85" i="6" a="1"/>
  <c r="C85" i="6" a="1"/>
  <c r="J84" i="6" a="1"/>
  <c r="I84" i="6" a="1"/>
  <c r="C84" i="6" a="1"/>
  <c r="J83" i="6" a="1"/>
  <c r="I83" i="6" a="1"/>
  <c r="C83" i="6" a="1"/>
  <c r="J82" i="6" a="1"/>
  <c r="I82" i="6" a="1"/>
  <c r="C82" i="6" a="1"/>
  <c r="J81" i="6" a="1"/>
  <c r="I81" i="6" a="1"/>
  <c r="C81" i="6" a="1"/>
  <c r="J80" i="6" a="1"/>
  <c r="I80" i="6" a="1"/>
  <c r="C80" i="6" a="1"/>
  <c r="J79" i="6" a="1"/>
  <c r="I79" i="6" a="1"/>
  <c r="C79" i="6" a="1"/>
  <c r="J78" i="6" a="1"/>
  <c r="I78" i="6" a="1"/>
  <c r="C78" i="6" a="1"/>
  <c r="J77" i="6" a="1"/>
  <c r="I77" i="6" a="1"/>
  <c r="C77" i="6" a="1"/>
  <c r="J76" i="6" a="1"/>
  <c r="I76" i="6" a="1"/>
  <c r="C76" i="6" a="1"/>
  <c r="J75" i="6" a="1"/>
  <c r="I75" i="6" a="1"/>
  <c r="C75" i="6" a="1"/>
  <c r="J74" i="6" a="1"/>
  <c r="I74" i="6" a="1"/>
  <c r="C74" i="6" a="1"/>
  <c r="J73" i="6" a="1"/>
  <c r="I73" i="6" a="1"/>
  <c r="C73" i="6" a="1"/>
  <c r="J72" i="6" a="1"/>
  <c r="I72" i="6" a="1"/>
  <c r="C72" i="6" a="1"/>
  <c r="J71" i="6" a="1"/>
  <c r="I71" i="6" a="1"/>
  <c r="C71" i="6" a="1"/>
  <c r="J70" i="6" a="1"/>
  <c r="I70" i="6" a="1"/>
  <c r="C70" i="6" a="1"/>
  <c r="J69" i="6" a="1"/>
  <c r="I69" i="6" a="1"/>
  <c r="C69" i="6" a="1"/>
  <c r="J68" i="6" a="1"/>
  <c r="I68" i="6" a="1"/>
  <c r="C68" i="6" a="1"/>
  <c r="J67" i="6" a="1"/>
  <c r="I67" i="6" a="1"/>
  <c r="C67" i="6" a="1"/>
  <c r="J66" i="6" a="1"/>
  <c r="I66" i="6" a="1"/>
  <c r="C66" i="6" a="1"/>
  <c r="J65" i="6" a="1"/>
  <c r="I65" i="6" a="1"/>
  <c r="C65" i="6" a="1"/>
  <c r="J64" i="6" a="1"/>
  <c r="I64" i="6" a="1"/>
  <c r="C64" i="6" a="1"/>
  <c r="J63" i="6" a="1"/>
  <c r="I63" i="6" a="1"/>
  <c r="C63" i="6" a="1"/>
  <c r="J62" i="6" a="1"/>
  <c r="I62" i="6" a="1"/>
  <c r="C62" i="6" a="1"/>
  <c r="J61" i="6" a="1"/>
  <c r="I61" i="6" a="1"/>
  <c r="C61" i="6" a="1"/>
  <c r="J60" i="6" a="1"/>
  <c r="I60" i="6" a="1"/>
  <c r="C60" i="6" a="1"/>
  <c r="J59" i="6" a="1"/>
  <c r="I59" i="6" a="1"/>
  <c r="C59" i="6" a="1"/>
  <c r="J58" i="6" a="1"/>
  <c r="I58" i="6" a="1"/>
  <c r="C58" i="6" a="1"/>
  <c r="J57" i="6" a="1"/>
  <c r="I57" i="6" a="1"/>
  <c r="C57" i="6" a="1"/>
  <c r="J56" i="6" a="1"/>
  <c r="I56" i="6" a="1"/>
  <c r="C56" i="6" a="1"/>
  <c r="J55" i="6" a="1"/>
  <c r="I55" i="6" a="1"/>
  <c r="C55" i="6" a="1"/>
  <c r="J54" i="6" a="1"/>
  <c r="I54" i="6" a="1"/>
  <c r="C54" i="6" a="1"/>
  <c r="J53" i="6" a="1"/>
  <c r="I53" i="6" a="1"/>
  <c r="C53" i="6" a="1"/>
  <c r="J52" i="6" a="1"/>
  <c r="I52" i="6" a="1"/>
  <c r="C52" i="6" a="1"/>
  <c r="J51" i="6" a="1"/>
  <c r="I51" i="6" a="1"/>
  <c r="C51" i="6" a="1"/>
  <c r="J50" i="6" a="1"/>
  <c r="I50" i="6" a="1"/>
  <c r="C50" i="6" a="1"/>
  <c r="J49" i="6" a="1"/>
  <c r="I49" i="6" a="1"/>
  <c r="C49" i="6" a="1"/>
  <c r="J48" i="6" a="1"/>
  <c r="I48" i="6" a="1"/>
  <c r="D48" i="6" a="1"/>
  <c r="C48" i="6" a="1"/>
  <c r="J47" i="6" a="1"/>
  <c r="I47" i="6" a="1"/>
  <c r="D47" i="6" a="1"/>
  <c r="C47" i="6" a="1"/>
  <c r="J46" i="6" a="1"/>
  <c r="I46" i="6" a="1"/>
  <c r="D46" i="6" a="1"/>
  <c r="C46" i="6" a="1"/>
  <c r="J45" i="6" a="1"/>
  <c r="I45" i="6" a="1"/>
  <c r="D45" i="6" a="1"/>
  <c r="C45" i="6" a="1"/>
  <c r="J44" i="6" a="1"/>
  <c r="I44" i="6" a="1"/>
  <c r="D44" i="6" a="1"/>
  <c r="C44" i="6" a="1"/>
  <c r="J43" i="6" a="1"/>
  <c r="I43" i="6" a="1"/>
  <c r="D43" i="6" a="1"/>
  <c r="C43" i="6" a="1"/>
  <c r="J42" i="6" a="1"/>
  <c r="I42" i="6" a="1"/>
  <c r="D42" i="6" a="1"/>
  <c r="C42" i="6" a="1"/>
  <c r="J41" i="6" a="1"/>
  <c r="I41" i="6" a="1"/>
  <c r="D41" i="6" a="1"/>
  <c r="C41" i="6" a="1"/>
  <c r="J40" i="6" a="1"/>
  <c r="I40" i="6" a="1"/>
  <c r="D40" i="6" a="1"/>
  <c r="C40" i="6" a="1"/>
  <c r="J39" i="6" a="1"/>
  <c r="I39" i="6" a="1"/>
  <c r="C39" i="6" a="1"/>
  <c r="I38" i="6" a="1"/>
  <c r="C38" i="6" a="1"/>
  <c r="I37" i="6" a="1"/>
  <c r="C37" i="6" a="1"/>
  <c r="I36" i="6" a="1"/>
  <c r="C36" i="6" a="1"/>
  <c r="I35" i="6" a="1"/>
  <c r="C35" i="6" a="1"/>
  <c r="I34" i="6" a="1"/>
  <c r="C34" i="6" a="1"/>
  <c r="I33" i="6" a="1"/>
  <c r="C33" i="6" a="1"/>
  <c r="I32" i="6" a="1"/>
  <c r="C32" i="6" a="1"/>
  <c r="I31" i="6" a="1"/>
  <c r="C31" i="6" a="1"/>
  <c r="I30" i="6" a="1"/>
  <c r="C30" i="6" a="1"/>
  <c r="I29" i="6" a="1"/>
  <c r="C29" i="6" a="1"/>
  <c r="I28" i="6" a="1"/>
  <c r="C28" i="6" a="1"/>
  <c r="I27" i="6" a="1"/>
  <c r="C27" i="6" a="1"/>
  <c r="I26" i="6" a="1"/>
  <c r="C26" i="6" a="1"/>
  <c r="I25" i="6" a="1"/>
  <c r="C25" i="6" a="1"/>
  <c r="I24" i="6" a="1"/>
  <c r="C24" i="6" a="1"/>
  <c r="I23" i="6" a="1"/>
  <c r="C23" i="6" a="1"/>
  <c r="I22" i="6" a="1"/>
  <c r="C22" i="6" a="1"/>
  <c r="I21" i="6" a="1"/>
  <c r="C21" i="6" a="1"/>
  <c r="I20" i="6" a="1"/>
  <c r="C20" i="6" a="1"/>
  <c r="I19" i="6" a="1"/>
  <c r="C19" i="6" a="1"/>
  <c r="I18" i="6" a="1"/>
  <c r="C18" i="6" a="1"/>
  <c r="L17" i="6"/>
  <c r="K17" i="6"/>
  <c r="J17" i="6"/>
  <c r="I17" i="6"/>
  <c r="F17" i="6"/>
  <c r="E17" i="6"/>
  <c r="D17" i="6"/>
  <c r="C17" i="6"/>
  <c r="J13" i="6"/>
  <c r="I13" i="6"/>
  <c r="D13" i="6"/>
  <c r="C13" i="6"/>
  <c r="L11" i="6"/>
  <c r="D11" i="6"/>
  <c r="J8" i="6"/>
  <c r="D8" i="6"/>
  <c r="E8" i="6" s="1"/>
  <c r="J7" i="6"/>
  <c r="K7" i="6" s="1"/>
  <c r="L7" i="6" s="1"/>
  <c r="D7" i="6"/>
  <c r="E7" i="6" s="1"/>
  <c r="F7" i="6" s="1"/>
  <c r="K6" i="6"/>
  <c r="L6" i="6" s="1"/>
  <c r="E6" i="6"/>
  <c r="F6" i="6" s="1"/>
  <c r="B1" i="6"/>
  <c r="B4" i="6" s="1"/>
  <c r="I132" i="6" l="1" a="1"/>
  <c r="I133" i="6" a="1"/>
  <c r="J132" i="6" a="1"/>
  <c r="J125" i="6" a="1"/>
  <c r="J131" i="6" a="1"/>
  <c r="J130" i="6" a="1"/>
  <c r="J129" i="6" a="1"/>
  <c r="J128" i="6" a="1"/>
  <c r="J127" i="6" a="1"/>
  <c r="J126" i="6" a="1"/>
  <c r="J104" i="6" a="1"/>
  <c r="E18" i="6" a="1"/>
  <c r="F8" i="6"/>
  <c r="D132" i="6" a="1"/>
  <c r="D81" i="6" a="1"/>
  <c r="D80" i="6" a="1"/>
  <c r="D63" i="6" a="1"/>
  <c r="D52" i="6" a="1"/>
  <c r="D51" i="6" a="1"/>
  <c r="D50" i="6" a="1"/>
  <c r="D109" i="6" a="1"/>
  <c r="D108" i="6" a="1"/>
  <c r="D107" i="6" a="1"/>
  <c r="D106" i="6" a="1"/>
  <c r="D105" i="6" a="1"/>
  <c r="D104" i="6" a="1"/>
  <c r="D103" i="6" a="1"/>
  <c r="D102" i="6" a="1"/>
  <c r="D98" i="6" a="1"/>
  <c r="D91" i="6" a="1"/>
  <c r="D58" i="6" a="1"/>
  <c r="D53" i="6" a="1"/>
  <c r="D64" i="6" a="1"/>
  <c r="D134" i="6" a="1"/>
  <c r="D130" i="6" a="1"/>
  <c r="D128" i="6" a="1"/>
  <c r="D123" i="6" a="1"/>
  <c r="D120" i="6" a="1"/>
  <c r="D117" i="6" a="1"/>
  <c r="D114" i="6" a="1"/>
  <c r="D113" i="6" a="1"/>
  <c r="D100" i="6" a="1"/>
  <c r="D99" i="6" a="1"/>
  <c r="D94" i="6" a="1"/>
  <c r="D87" i="6" a="1"/>
  <c r="D85" i="6" a="1"/>
  <c r="D82" i="6" a="1"/>
  <c r="D79" i="6" a="1"/>
  <c r="D70" i="6" a="1"/>
  <c r="D136" i="6" a="1"/>
  <c r="D126" i="6" a="1"/>
  <c r="D124" i="6" a="1"/>
  <c r="D121" i="6" a="1"/>
  <c r="D118" i="6" a="1"/>
  <c r="D115" i="6" a="1"/>
  <c r="D112" i="6" a="1"/>
  <c r="D110" i="6" a="1"/>
  <c r="D96" i="6" a="1"/>
  <c r="D89" i="6" a="1"/>
  <c r="D88" i="6" a="1"/>
  <c r="D83" i="6" a="1"/>
  <c r="D78" i="6" a="1"/>
  <c r="D75" i="6" a="1"/>
  <c r="D72" i="6" a="1"/>
  <c r="D69" i="6" a="1"/>
  <c r="D60" i="6" a="1"/>
  <c r="D57" i="6" a="1"/>
  <c r="D56" i="6" a="1"/>
  <c r="D55" i="6" a="1"/>
  <c r="D135" i="6" a="1"/>
  <c r="D127" i="6" a="1"/>
  <c r="D122" i="6" a="1"/>
  <c r="D119" i="6" a="1"/>
  <c r="D101" i="6" a="1"/>
  <c r="D95" i="6" a="1"/>
  <c r="D93" i="6" a="1"/>
  <c r="D90" i="6" a="1"/>
  <c r="D86" i="6" a="1"/>
  <c r="D77" i="6" a="1"/>
  <c r="D74" i="6" a="1"/>
  <c r="D71" i="6" a="1"/>
  <c r="D66" i="6" a="1"/>
  <c r="D61" i="6" a="1"/>
  <c r="D54" i="6" a="1"/>
  <c r="D133" i="6" a="1"/>
  <c r="D92" i="6" a="1"/>
  <c r="D76" i="6" a="1"/>
  <c r="D67" i="6" a="1"/>
  <c r="D62" i="6" a="1"/>
  <c r="D59" i="6" a="1"/>
  <c r="D131" i="6" a="1"/>
  <c r="D129" i="6" a="1"/>
  <c r="D125" i="6" a="1"/>
  <c r="D116" i="6" a="1"/>
  <c r="D111" i="6" a="1"/>
  <c r="D97" i="6" a="1"/>
  <c r="D84" i="6" a="1"/>
  <c r="D73" i="6" a="1"/>
  <c r="D68" i="6" a="1"/>
  <c r="D65" i="6" a="1"/>
  <c r="D49" i="6" a="1"/>
  <c r="J170" i="6" a="1"/>
  <c r="J142" i="6" a="1"/>
  <c r="J169" i="6" a="1"/>
  <c r="K8" i="6"/>
  <c r="J168" i="6" a="1"/>
  <c r="J141" i="6" a="1"/>
  <c r="J167" i="6" a="1"/>
  <c r="J21" i="6" a="1"/>
  <c r="J166" i="6" a="1"/>
  <c r="J140" i="6" a="1"/>
  <c r="J165" i="6" a="1"/>
  <c r="J139" i="6" a="1"/>
  <c r="J164" i="6" a="1"/>
  <c r="J138" i="6" a="1"/>
  <c r="J163" i="6" a="1"/>
  <c r="J137" i="6" a="1"/>
  <c r="J162" i="6" a="1"/>
  <c r="J38" i="6" a="1"/>
  <c r="J161" i="6" a="1"/>
  <c r="J37" i="6" a="1"/>
  <c r="J160" i="6" a="1"/>
  <c r="J35" i="6" a="1"/>
  <c r="J159" i="6" a="1"/>
  <c r="J34" i="6" a="1"/>
  <c r="J158" i="6" a="1"/>
  <c r="J33" i="6" a="1"/>
  <c r="J157" i="6" a="1"/>
  <c r="J32" i="6" a="1"/>
  <c r="J156" i="6" a="1"/>
  <c r="J31" i="6" a="1"/>
  <c r="J155" i="6" a="1"/>
  <c r="J30" i="6" a="1"/>
  <c r="J154" i="6" a="1"/>
  <c r="J29" i="6" a="1"/>
  <c r="J153" i="6" a="1"/>
  <c r="J28" i="6" a="1"/>
  <c r="J152" i="6" a="1"/>
  <c r="J27" i="6" a="1"/>
  <c r="J151" i="6" a="1"/>
  <c r="J26" i="6" a="1"/>
  <c r="J150" i="6" a="1"/>
  <c r="J25" i="6" a="1"/>
  <c r="J149" i="6" a="1"/>
  <c r="J24" i="6" a="1"/>
  <c r="J148" i="6" a="1"/>
  <c r="J36" i="6" a="1"/>
  <c r="J147" i="6" a="1"/>
  <c r="J23" i="6" a="1"/>
  <c r="J146" i="6" a="1"/>
  <c r="J22" i="6" a="1"/>
  <c r="J145" i="6" a="1"/>
  <c r="J20" i="6" a="1"/>
  <c r="J144" i="6" a="1"/>
  <c r="J19" i="6" a="1"/>
  <c r="J143" i="6" a="1"/>
  <c r="J18" i="6" a="1"/>
  <c r="D170" i="6" a="1"/>
  <c r="D169" i="6" a="1"/>
  <c r="D168" i="6" a="1"/>
  <c r="D167" i="6" a="1"/>
  <c r="D166" i="6" a="1"/>
  <c r="D165" i="6" a="1"/>
  <c r="D164" i="6" a="1"/>
  <c r="D163" i="6" a="1"/>
  <c r="D162" i="6" a="1"/>
  <c r="D161" i="6" a="1"/>
  <c r="D160" i="6" a="1"/>
  <c r="D159" i="6" a="1"/>
  <c r="D158" i="6" a="1"/>
  <c r="D157" i="6" a="1"/>
  <c r="D156" i="6" a="1"/>
  <c r="D155" i="6" a="1"/>
  <c r="D154" i="6" a="1"/>
  <c r="D153" i="6" a="1"/>
  <c r="D152" i="6" a="1"/>
  <c r="D151" i="6" a="1"/>
  <c r="D150" i="6" a="1"/>
  <c r="D149" i="6" a="1"/>
  <c r="D147" i="6" a="1"/>
  <c r="D146" i="6" a="1"/>
  <c r="D145" i="6" a="1"/>
  <c r="D144" i="6" a="1"/>
  <c r="D143" i="6" a="1"/>
  <c r="D142" i="6" a="1"/>
  <c r="D31" i="6" a="1"/>
  <c r="D138" i="6" a="1"/>
  <c r="D30" i="6" a="1"/>
  <c r="D37" i="6" a="1"/>
  <c r="D29" i="6" a="1"/>
  <c r="D141" i="6" a="1"/>
  <c r="D28" i="6" a="1"/>
  <c r="D36" i="6" a="1"/>
  <c r="D27" i="6" a="1"/>
  <c r="D139" i="6" a="1"/>
  <c r="D26" i="6" a="1"/>
  <c r="D35" i="6" a="1"/>
  <c r="D25" i="6" a="1"/>
  <c r="D137" i="6" a="1"/>
  <c r="D24" i="6" a="1"/>
  <c r="D34" i="6" a="1"/>
  <c r="D23" i="6" a="1"/>
  <c r="D39" i="6" a="1"/>
  <c r="D22" i="6" a="1"/>
  <c r="D148" i="6" a="1"/>
  <c r="D21" i="6" a="1"/>
  <c r="D33" i="6" a="1"/>
  <c r="D20" i="6" a="1"/>
  <c r="D140" i="6" a="1"/>
  <c r="D19" i="6" a="1"/>
  <c r="D32" i="6" a="1"/>
  <c r="D18" i="6" a="1"/>
  <c r="D38" i="6" a="1"/>
  <c r="L8" i="6" l="1"/>
  <c r="K18" i="6" a="1"/>
  <c r="K19" i="6" a="1"/>
  <c r="K20" i="6" a="1"/>
  <c r="K21" i="6" a="1"/>
  <c r="K22" i="6" a="1"/>
  <c r="K23" i="6" a="1"/>
  <c r="K24" i="6" a="1"/>
  <c r="K25" i="6" a="1"/>
  <c r="K26" i="6" a="1"/>
  <c r="K27" i="6" a="1"/>
  <c r="K28" i="6" a="1"/>
  <c r="K29" i="6" a="1"/>
  <c r="K30" i="6" a="1"/>
  <c r="K31" i="6" a="1"/>
  <c r="K32" i="6" a="1"/>
  <c r="K33" i="6" a="1"/>
  <c r="K34" i="6" a="1"/>
  <c r="K35" i="6" a="1"/>
  <c r="K36" i="6" a="1"/>
  <c r="K37" i="6" a="1"/>
  <c r="K38" i="6" a="1"/>
  <c r="K39" i="6" a="1"/>
  <c r="K40" i="6" a="1"/>
  <c r="K41" i="6" a="1"/>
  <c r="K42" i="6" a="1"/>
  <c r="K43" i="6" a="1"/>
  <c r="K44" i="6" a="1"/>
  <c r="K45" i="6" a="1"/>
  <c r="K46" i="6" a="1"/>
  <c r="K47" i="6" a="1"/>
  <c r="K48" i="6" a="1"/>
  <c r="K49" i="6" a="1"/>
  <c r="K50" i="6" a="1"/>
  <c r="K51" i="6" a="1"/>
  <c r="K52" i="6" a="1"/>
  <c r="K53" i="6" a="1"/>
  <c r="K54" i="6" a="1"/>
  <c r="K55" i="6" a="1"/>
  <c r="K56" i="6" a="1"/>
  <c r="K57" i="6" a="1"/>
  <c r="K58" i="6" a="1"/>
  <c r="K59" i="6" a="1"/>
  <c r="K60" i="6" a="1"/>
  <c r="K61" i="6" a="1"/>
  <c r="K62" i="6" a="1"/>
  <c r="K63" i="6" a="1"/>
  <c r="K64" i="6" a="1"/>
  <c r="K65" i="6" a="1"/>
  <c r="K66" i="6" a="1"/>
  <c r="K67" i="6" a="1"/>
  <c r="K68" i="6" a="1"/>
  <c r="K69" i="6" a="1"/>
  <c r="K70" i="6" a="1"/>
  <c r="K71" i="6" a="1"/>
  <c r="K72" i="6" a="1"/>
  <c r="K73" i="6" a="1"/>
  <c r="K74" i="6" a="1"/>
  <c r="K75" i="6" a="1"/>
  <c r="K76" i="6" a="1"/>
  <c r="K77" i="6" a="1"/>
  <c r="K78" i="6" a="1"/>
  <c r="K79" i="6" a="1"/>
  <c r="K80" i="6" a="1"/>
  <c r="K81" i="6" a="1"/>
  <c r="K82" i="6" a="1"/>
  <c r="K83" i="6" a="1"/>
  <c r="K84" i="6" a="1"/>
  <c r="K85" i="6" a="1"/>
  <c r="K86" i="6" a="1"/>
  <c r="K87" i="6" a="1"/>
  <c r="K88" i="6" a="1"/>
  <c r="K89" i="6" a="1"/>
  <c r="K90" i="6" a="1"/>
  <c r="K91" i="6" a="1"/>
  <c r="K92" i="6" a="1"/>
  <c r="K93" i="6" a="1"/>
  <c r="K94" i="6" a="1"/>
  <c r="K95" i="6" a="1"/>
  <c r="K96" i="6" a="1"/>
  <c r="K97" i="6" a="1"/>
  <c r="K98" i="6" a="1"/>
  <c r="K99" i="6" a="1"/>
  <c r="K100" i="6" a="1"/>
  <c r="K101" i="6" a="1"/>
  <c r="K102" i="6" a="1"/>
  <c r="K103" i="6" a="1"/>
  <c r="K104" i="6" a="1"/>
  <c r="K105" i="6" a="1"/>
  <c r="K106" i="6" a="1"/>
  <c r="K107" i="6" a="1"/>
  <c r="K108" i="6" a="1"/>
  <c r="K109" i="6" a="1"/>
  <c r="K110" i="6" a="1"/>
  <c r="K111" i="6" a="1"/>
  <c r="K112" i="6" a="1"/>
  <c r="K113" i="6" a="1"/>
  <c r="K114" i="6" a="1"/>
  <c r="K115" i="6" a="1"/>
  <c r="K116" i="6" a="1"/>
  <c r="K117" i="6" a="1"/>
  <c r="K118" i="6" a="1"/>
  <c r="K119" i="6" a="1"/>
  <c r="K120" i="6" a="1"/>
  <c r="K121" i="6" a="1"/>
  <c r="K122" i="6" a="1"/>
  <c r="K123" i="6" a="1"/>
  <c r="K124" i="6" a="1"/>
  <c r="K125" i="6" a="1"/>
  <c r="K126" i="6" a="1"/>
  <c r="K127" i="6" a="1"/>
  <c r="K128" i="6" a="1"/>
  <c r="K129" i="6" a="1"/>
  <c r="K130" i="6" a="1"/>
  <c r="K131" i="6" a="1"/>
  <c r="K132" i="6" a="1"/>
  <c r="K133" i="6" a="1"/>
  <c r="K134" i="6" a="1"/>
  <c r="K135" i="6" a="1"/>
  <c r="K136" i="6" a="1"/>
  <c r="K137" i="6" a="1"/>
  <c r="K138" i="6" a="1"/>
  <c r="K139" i="6" a="1"/>
  <c r="K140" i="6" a="1"/>
  <c r="K141" i="6" a="1"/>
  <c r="K142" i="6" a="1"/>
  <c r="K143" i="6" a="1"/>
  <c r="K144" i="6" a="1"/>
  <c r="K145" i="6" a="1"/>
  <c r="K146" i="6" a="1"/>
  <c r="K147" i="6" a="1"/>
  <c r="K148" i="6" a="1"/>
  <c r="K149" i="6" a="1"/>
  <c r="K150" i="6" a="1"/>
  <c r="K151" i="6" a="1"/>
  <c r="K152" i="6" a="1"/>
  <c r="K153" i="6" a="1"/>
  <c r="K154" i="6" a="1"/>
  <c r="K155" i="6" a="1"/>
  <c r="K156" i="6" a="1"/>
  <c r="K157" i="6" a="1"/>
  <c r="K158" i="6" a="1"/>
  <c r="K159" i="6" a="1"/>
  <c r="K160" i="6" a="1"/>
  <c r="K161" i="6" a="1"/>
  <c r="K162" i="6" a="1"/>
  <c r="K163" i="6" a="1"/>
  <c r="K164" i="6" a="1"/>
  <c r="K165" i="6" a="1"/>
  <c r="K166" i="6" a="1"/>
  <c r="K167" i="6" a="1"/>
  <c r="K168" i="6" a="1"/>
  <c r="K169" i="6" a="1"/>
  <c r="K170" i="6" a="1"/>
  <c r="E19" i="6" a="1"/>
  <c r="E20" i="6" a="1"/>
  <c r="E21" i="6" a="1"/>
  <c r="E22" i="6" a="1"/>
  <c r="E23" i="6" a="1"/>
  <c r="E24" i="6" a="1"/>
  <c r="E25" i="6" a="1"/>
  <c r="E26" i="6" a="1"/>
  <c r="E27" i="6" a="1"/>
  <c r="E28" i="6" a="1"/>
  <c r="E29" i="6" a="1"/>
  <c r="E30" i="6" a="1"/>
  <c r="E31" i="6" a="1"/>
  <c r="E32" i="6" a="1"/>
  <c r="E33" i="6" a="1"/>
  <c r="E34" i="6" a="1"/>
  <c r="E35" i="6" a="1"/>
  <c r="E36" i="6" a="1"/>
  <c r="E37" i="6" a="1"/>
  <c r="E38" i="6" a="1"/>
  <c r="E39" i="6" a="1"/>
  <c r="E40" i="6" a="1"/>
  <c r="E41" i="6" a="1"/>
  <c r="E42" i="6" a="1"/>
  <c r="E43" i="6" a="1"/>
  <c r="E44" i="6" a="1"/>
  <c r="E45" i="6" a="1"/>
  <c r="E46" i="6" a="1"/>
  <c r="E47" i="6" a="1"/>
  <c r="E48" i="6" a="1"/>
  <c r="E49" i="6" a="1"/>
  <c r="E50" i="6" a="1"/>
  <c r="E51" i="6" a="1"/>
  <c r="E52" i="6" a="1"/>
  <c r="E53" i="6" a="1"/>
  <c r="E54" i="6" a="1"/>
  <c r="E55" i="6" a="1"/>
  <c r="E56" i="6" a="1"/>
  <c r="E57" i="6" a="1"/>
  <c r="E58" i="6" a="1"/>
  <c r="E59" i="6" a="1"/>
  <c r="E60" i="6" a="1"/>
  <c r="E61" i="6" a="1"/>
  <c r="E62" i="6" a="1"/>
  <c r="E63" i="6" a="1"/>
  <c r="E64" i="6" a="1"/>
  <c r="E65" i="6" a="1"/>
  <c r="E66" i="6" a="1"/>
  <c r="E67" i="6" a="1"/>
  <c r="E68" i="6" a="1"/>
  <c r="E69" i="6" a="1"/>
  <c r="E70" i="6" a="1"/>
  <c r="E71" i="6" a="1"/>
  <c r="E72" i="6" a="1"/>
  <c r="E73" i="6" a="1"/>
  <c r="E74" i="6" a="1"/>
  <c r="E75" i="6" a="1"/>
  <c r="E76" i="6" a="1"/>
  <c r="E77" i="6" a="1"/>
  <c r="E78" i="6" a="1"/>
  <c r="E79" i="6" a="1"/>
  <c r="E80" i="6" a="1"/>
  <c r="E81" i="6" a="1"/>
  <c r="E82" i="6" a="1"/>
  <c r="E83" i="6" a="1"/>
  <c r="E84" i="6" a="1"/>
  <c r="E85" i="6" a="1"/>
  <c r="E86" i="6" a="1"/>
  <c r="E87" i="6" a="1"/>
  <c r="E88" i="6" a="1"/>
  <c r="E89" i="6" a="1"/>
  <c r="E90" i="6" a="1"/>
  <c r="E91" i="6" a="1"/>
  <c r="E92" i="6" a="1"/>
  <c r="E93" i="6" a="1"/>
  <c r="E94" i="6" a="1"/>
  <c r="E95" i="6" a="1"/>
  <c r="E96" i="6" a="1"/>
  <c r="E97" i="6" a="1"/>
  <c r="E98" i="6" a="1"/>
  <c r="E99" i="6" a="1"/>
  <c r="E100" i="6" a="1"/>
  <c r="E101" i="6" a="1"/>
  <c r="E102" i="6" a="1"/>
  <c r="E103" i="6" a="1"/>
  <c r="E104" i="6" a="1"/>
  <c r="E105" i="6" a="1"/>
  <c r="E106" i="6" a="1"/>
  <c r="E107" i="6" a="1"/>
  <c r="E108" i="6" a="1"/>
  <c r="E109" i="6" a="1"/>
  <c r="E110" i="6" a="1"/>
  <c r="E111" i="6" a="1"/>
  <c r="E112" i="6" a="1"/>
  <c r="E113" i="6" a="1"/>
  <c r="E114" i="6" a="1"/>
  <c r="E115" i="6" a="1"/>
  <c r="E116" i="6" a="1"/>
  <c r="E117" i="6" a="1"/>
  <c r="E118" i="6" a="1"/>
  <c r="E119" i="6" a="1"/>
  <c r="E120" i="6" a="1"/>
  <c r="E121" i="6" a="1"/>
  <c r="E122" i="6" a="1"/>
  <c r="E123" i="6" a="1"/>
  <c r="E124" i="6" a="1"/>
  <c r="E125" i="6" a="1"/>
  <c r="E126" i="6" a="1"/>
  <c r="E127" i="6" a="1"/>
  <c r="E128" i="6" a="1"/>
  <c r="E129" i="6" a="1"/>
  <c r="E130" i="6" a="1"/>
  <c r="E131" i="6" a="1"/>
  <c r="E132" i="6" a="1"/>
  <c r="E133" i="6" a="1"/>
  <c r="E134" i="6" a="1"/>
  <c r="E135" i="6" a="1"/>
  <c r="E136" i="6" a="1"/>
  <c r="E137" i="6" a="1"/>
  <c r="E138" i="6" a="1"/>
  <c r="E139" i="6" a="1"/>
  <c r="E140" i="6" a="1"/>
  <c r="E141" i="6" a="1"/>
  <c r="E142" i="6" a="1"/>
  <c r="E143" i="6" a="1"/>
  <c r="E144" i="6" a="1"/>
  <c r="E145" i="6" a="1"/>
  <c r="E146" i="6" a="1"/>
  <c r="E147" i="6" a="1"/>
  <c r="E148" i="6" a="1"/>
  <c r="E149" i="6" a="1"/>
  <c r="E150" i="6" a="1"/>
  <c r="E151" i="6" a="1"/>
  <c r="E152" i="6" a="1"/>
  <c r="E153" i="6" a="1"/>
  <c r="E154" i="6" a="1"/>
  <c r="E155" i="6" a="1"/>
  <c r="E156" i="6" a="1"/>
  <c r="E157" i="6" a="1"/>
  <c r="E158" i="6" a="1"/>
  <c r="E159" i="6" a="1"/>
  <c r="E160" i="6" a="1"/>
  <c r="E161" i="6" a="1"/>
  <c r="E162" i="6" a="1"/>
  <c r="E163" i="6" a="1"/>
  <c r="E164" i="6" a="1"/>
  <c r="E165" i="6" a="1"/>
  <c r="E166" i="6" a="1"/>
  <c r="E167" i="6" a="1"/>
  <c r="E168" i="6" a="1"/>
  <c r="E169" i="6" a="1"/>
  <c r="E170" i="6" a="1"/>
  <c r="L18" i="6" l="1" a="1"/>
  <c r="L19" i="6" a="1"/>
  <c r="L20" i="6" a="1"/>
  <c r="L21" i="6" a="1"/>
  <c r="L22" i="6" a="1"/>
  <c r="L23" i="6" a="1"/>
  <c r="L24" i="6" a="1"/>
  <c r="L25" i="6" a="1"/>
  <c r="L26" i="6" a="1"/>
  <c r="L27" i="6" a="1"/>
  <c r="L28" i="6" a="1"/>
  <c r="L29" i="6" a="1"/>
  <c r="L30" i="6" a="1"/>
  <c r="L31" i="6" a="1"/>
  <c r="L32" i="6" a="1"/>
  <c r="L33" i="6" a="1"/>
  <c r="L34" i="6" a="1"/>
  <c r="L35" i="6" a="1"/>
  <c r="L36" i="6" a="1"/>
  <c r="L37" i="6" a="1"/>
  <c r="L38" i="6" a="1"/>
  <c r="L39" i="6" a="1"/>
  <c r="L40" i="6" a="1"/>
  <c r="L41" i="6" a="1"/>
  <c r="L42" i="6" a="1"/>
  <c r="L43" i="6" a="1"/>
  <c r="L44" i="6" a="1"/>
  <c r="L45" i="6" a="1"/>
  <c r="L46" i="6" a="1"/>
  <c r="L47" i="6" a="1"/>
  <c r="L48" i="6" a="1"/>
  <c r="L49" i="6" a="1"/>
  <c r="L50" i="6" a="1"/>
  <c r="L51" i="6" a="1"/>
  <c r="L52" i="6" a="1"/>
  <c r="L53" i="6" a="1"/>
  <c r="L54" i="6" a="1"/>
  <c r="L55" i="6" a="1"/>
  <c r="L56" i="6" a="1"/>
  <c r="L57" i="6" a="1"/>
  <c r="L58" i="6" a="1"/>
  <c r="L59" i="6" a="1"/>
  <c r="L60" i="6" a="1"/>
  <c r="L61" i="6" a="1"/>
  <c r="L62" i="6" a="1"/>
  <c r="L63" i="6" a="1"/>
  <c r="L64" i="6" a="1"/>
  <c r="L65" i="6" a="1"/>
  <c r="L66" i="6" a="1"/>
  <c r="L67" i="6" a="1"/>
  <c r="L68" i="6" a="1"/>
  <c r="L69" i="6" a="1"/>
  <c r="L70" i="6" a="1"/>
  <c r="L71" i="6" a="1"/>
  <c r="L72" i="6" a="1"/>
  <c r="L73" i="6" a="1"/>
  <c r="L74" i="6" a="1"/>
  <c r="L75" i="6" a="1"/>
  <c r="L76" i="6" a="1"/>
  <c r="L77" i="6" a="1"/>
  <c r="L78" i="6" a="1"/>
  <c r="L79" i="6" a="1"/>
  <c r="L80" i="6" a="1"/>
  <c r="L81" i="6" a="1"/>
  <c r="L82" i="6" a="1"/>
  <c r="L83" i="6" a="1"/>
  <c r="L84" i="6" a="1"/>
  <c r="L85" i="6" a="1"/>
  <c r="L86" i="6" a="1"/>
  <c r="L87" i="6" a="1"/>
  <c r="L88" i="6" a="1"/>
  <c r="L89" i="6" a="1"/>
  <c r="L90" i="6" a="1"/>
  <c r="L91" i="6" a="1"/>
  <c r="L92" i="6" a="1"/>
  <c r="L93" i="6" a="1"/>
  <c r="L94" i="6" a="1"/>
  <c r="L95" i="6" a="1"/>
  <c r="L96" i="6" a="1"/>
  <c r="L97" i="6" a="1"/>
  <c r="L98" i="6" a="1"/>
  <c r="L99" i="6" a="1"/>
  <c r="L100" i="6" a="1"/>
  <c r="L101" i="6" a="1"/>
  <c r="L102" i="6" a="1"/>
  <c r="L103" i="6" a="1"/>
  <c r="L104" i="6" a="1"/>
  <c r="L105" i="6" a="1"/>
  <c r="L106" i="6" a="1"/>
  <c r="L107" i="6" a="1"/>
  <c r="L108" i="6" a="1"/>
  <c r="L109" i="6" a="1"/>
  <c r="L110" i="6" a="1"/>
  <c r="L111" i="6" a="1"/>
  <c r="L112" i="6" a="1"/>
  <c r="L113" i="6" a="1"/>
  <c r="L114" i="6" a="1"/>
  <c r="L115" i="6" a="1"/>
  <c r="L116" i="6" a="1"/>
  <c r="L117" i="6" a="1"/>
  <c r="L118" i="6" a="1"/>
  <c r="L119" i="6" a="1"/>
  <c r="L120" i="6" a="1"/>
  <c r="L121" i="6" a="1"/>
  <c r="L122" i="6" a="1"/>
  <c r="L123" i="6" a="1"/>
  <c r="L124" i="6" a="1"/>
  <c r="L125" i="6" a="1"/>
  <c r="L126" i="6" a="1"/>
  <c r="L127" i="6" a="1"/>
  <c r="L128" i="6" a="1"/>
  <c r="L129" i="6" a="1"/>
  <c r="L130" i="6" a="1"/>
  <c r="L131" i="6" a="1"/>
  <c r="L132" i="6" a="1"/>
  <c r="L133" i="6" a="1"/>
  <c r="L134" i="6" a="1"/>
  <c r="L135" i="6" a="1"/>
  <c r="L136" i="6" a="1"/>
  <c r="L137" i="6" a="1"/>
  <c r="L138" i="6" a="1"/>
  <c r="L139" i="6" a="1"/>
  <c r="L140" i="6" a="1"/>
  <c r="L141" i="6" a="1"/>
  <c r="L142" i="6" a="1"/>
  <c r="L143" i="6" a="1"/>
  <c r="L144" i="6" a="1"/>
  <c r="L145" i="6" a="1"/>
  <c r="L146" i="6" a="1"/>
  <c r="L147" i="6" a="1"/>
  <c r="L148" i="6" a="1"/>
  <c r="L149" i="6" a="1"/>
  <c r="L150" i="6" a="1"/>
  <c r="L151" i="6" a="1"/>
  <c r="L152" i="6" a="1"/>
  <c r="L153" i="6" a="1"/>
  <c r="L154" i="6" a="1"/>
  <c r="L155" i="6" a="1"/>
  <c r="L156" i="6" a="1"/>
  <c r="L157" i="6" a="1"/>
  <c r="L158" i="6" a="1"/>
  <c r="L159" i="6" a="1"/>
  <c r="L160" i="6" a="1"/>
  <c r="L161" i="6" a="1"/>
  <c r="L162" i="6" a="1"/>
  <c r="L163" i="6" a="1"/>
  <c r="L164" i="6" a="1"/>
  <c r="L165" i="6" a="1"/>
  <c r="L166" i="6" a="1"/>
  <c r="L167" i="6" a="1"/>
  <c r="L168" i="6" a="1"/>
  <c r="L169" i="6" a="1"/>
  <c r="L170" i="6" a="1"/>
  <c r="F18" i="6" a="1"/>
  <c r="F19" i="6" a="1"/>
  <c r="F20" i="6" a="1"/>
  <c r="F21" i="6" a="1"/>
  <c r="F22" i="6" a="1"/>
  <c r="F23" i="6" a="1"/>
  <c r="F24" i="6" a="1"/>
  <c r="F25" i="6" a="1"/>
  <c r="F26" i="6" a="1"/>
  <c r="F27" i="6" a="1"/>
  <c r="F28" i="6" a="1"/>
  <c r="F29" i="6" a="1"/>
  <c r="F30" i="6" a="1"/>
  <c r="F31" i="6" a="1"/>
  <c r="F32" i="6" a="1"/>
  <c r="F33" i="6" a="1"/>
  <c r="F34" i="6" a="1"/>
  <c r="F35" i="6" a="1"/>
  <c r="F36" i="6" a="1"/>
  <c r="F37" i="6" a="1"/>
  <c r="F38" i="6" a="1"/>
  <c r="F39" i="6" a="1"/>
  <c r="F40" i="6" a="1"/>
  <c r="F41" i="6" a="1"/>
  <c r="F42" i="6" a="1"/>
  <c r="F43" i="6" a="1"/>
  <c r="F44" i="6" a="1"/>
  <c r="F45" i="6" a="1"/>
  <c r="F46" i="6" a="1"/>
  <c r="F47" i="6" a="1"/>
  <c r="F48" i="6" a="1"/>
  <c r="F49" i="6" a="1"/>
  <c r="F50" i="6" a="1"/>
  <c r="F51" i="6" a="1"/>
  <c r="F52" i="6" a="1"/>
  <c r="F53" i="6" a="1"/>
  <c r="F54" i="6" a="1"/>
  <c r="F55" i="6" a="1"/>
  <c r="F56" i="6" a="1"/>
  <c r="F57" i="6" a="1"/>
  <c r="F58" i="6" a="1"/>
  <c r="F59" i="6" a="1"/>
  <c r="F60" i="6" a="1"/>
  <c r="F61" i="6" a="1"/>
  <c r="F62" i="6" a="1"/>
  <c r="F63" i="6" a="1"/>
  <c r="F64" i="6" a="1"/>
  <c r="F65" i="6" a="1"/>
  <c r="F66" i="6" a="1"/>
  <c r="F67" i="6" a="1"/>
  <c r="F68" i="6" a="1"/>
  <c r="F69" i="6" a="1"/>
  <c r="F70" i="6" a="1"/>
  <c r="F71" i="6" a="1"/>
  <c r="F72" i="6" a="1"/>
  <c r="F73" i="6" a="1"/>
  <c r="F74" i="6" a="1"/>
  <c r="F75" i="6" a="1"/>
  <c r="F76" i="6" a="1"/>
  <c r="F77" i="6" a="1"/>
  <c r="F78" i="6" a="1"/>
  <c r="F79" i="6" a="1"/>
  <c r="F80" i="6" a="1"/>
  <c r="F81" i="6" a="1"/>
  <c r="F82" i="6" a="1"/>
  <c r="F83" i="6" a="1"/>
  <c r="F84" i="6" a="1"/>
  <c r="F85" i="6" a="1"/>
  <c r="F86" i="6" a="1"/>
  <c r="F87" i="6" a="1"/>
  <c r="F88" i="6" a="1"/>
  <c r="F89" i="6" a="1"/>
  <c r="F90" i="6" a="1"/>
  <c r="F91" i="6" a="1"/>
  <c r="F92" i="6" a="1"/>
  <c r="F93" i="6" a="1"/>
  <c r="F94" i="6" a="1"/>
  <c r="F95" i="6" a="1"/>
  <c r="F96" i="6" a="1"/>
  <c r="F97" i="6" a="1"/>
  <c r="F98" i="6" a="1"/>
  <c r="F99" i="6" a="1"/>
  <c r="F100" i="6" a="1"/>
  <c r="F101" i="6" a="1"/>
  <c r="F102" i="6" a="1"/>
  <c r="F103" i="6" a="1"/>
  <c r="F104" i="6" a="1"/>
  <c r="F105" i="6" a="1"/>
  <c r="F106" i="6" a="1"/>
  <c r="F107" i="6" a="1"/>
  <c r="F108" i="6" a="1"/>
  <c r="F109" i="6" a="1"/>
  <c r="F110" i="6" a="1"/>
  <c r="F111" i="6" a="1"/>
  <c r="F112" i="6" a="1"/>
  <c r="F113" i="6" a="1"/>
  <c r="F114" i="6" a="1"/>
  <c r="F115" i="6" a="1"/>
  <c r="F116" i="6" a="1"/>
  <c r="F117" i="6" a="1"/>
  <c r="F118" i="6" a="1"/>
  <c r="F119" i="6" a="1"/>
  <c r="F120" i="6" a="1"/>
  <c r="F121" i="6" a="1"/>
  <c r="F122" i="6" a="1"/>
  <c r="F123" i="6" a="1"/>
  <c r="F124" i="6" a="1"/>
  <c r="F125" i="6" a="1"/>
  <c r="F126" i="6" a="1"/>
  <c r="F127" i="6" a="1"/>
  <c r="F128" i="6" a="1"/>
  <c r="F129" i="6" a="1"/>
  <c r="F130" i="6" a="1"/>
  <c r="F131" i="6" a="1"/>
  <c r="F132" i="6" a="1"/>
  <c r="F133" i="6" a="1"/>
  <c r="F134" i="6" a="1"/>
  <c r="F135" i="6" a="1"/>
  <c r="F136" i="6" a="1"/>
  <c r="F137" i="6" a="1"/>
  <c r="F138" i="6" a="1"/>
  <c r="F139" i="6" a="1"/>
  <c r="F140" i="6" a="1"/>
  <c r="F141" i="6" a="1"/>
  <c r="F142" i="6" a="1"/>
  <c r="F143" i="6" a="1"/>
  <c r="F144" i="6" a="1"/>
  <c r="F145" i="6" a="1"/>
  <c r="F146" i="6" a="1"/>
  <c r="F147" i="6" a="1"/>
  <c r="F148" i="6" a="1"/>
  <c r="F149" i="6" a="1"/>
  <c r="F150" i="6" a="1"/>
  <c r="F151" i="6" a="1"/>
  <c r="F152" i="6" a="1"/>
  <c r="F153" i="6" a="1"/>
  <c r="F154" i="6" a="1"/>
  <c r="F155" i="6" a="1"/>
  <c r="F156" i="6" a="1"/>
  <c r="F157" i="6" a="1"/>
  <c r="F158" i="6" a="1"/>
  <c r="F159" i="6" a="1"/>
  <c r="F160" i="6" a="1"/>
  <c r="F161" i="6" a="1"/>
  <c r="F162" i="6" a="1"/>
  <c r="F163" i="6" a="1"/>
  <c r="F164" i="6" a="1"/>
  <c r="F165" i="6" a="1"/>
  <c r="F166" i="6" a="1"/>
  <c r="F167" i="6" a="1"/>
  <c r="F168" i="6" a="1"/>
  <c r="F169" i="6" a="1"/>
  <c r="F170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<sst xmlns="http://schemas.openxmlformats.org/spreadsheetml/2006/main" count="2418" uniqueCount="28">
  <si>
    <t>NAN</t>
  </si>
  <si>
    <t>Time</t>
  </si>
  <si>
    <t>Sensor 1</t>
  </si>
  <si>
    <t>Sensor 2</t>
  </si>
  <si>
    <t>Depth (µm)</t>
  </si>
  <si>
    <t>Signal (mV)</t>
  </si>
  <si>
    <t>Concentration (µmol/l)</t>
  </si>
  <si>
    <t>tab name</t>
  </si>
  <si>
    <t>pre-title</t>
  </si>
  <si>
    <t>post-title</t>
  </si>
  <si>
    <t>Title</t>
  </si>
  <si>
    <t>sheet</t>
  </si>
  <si>
    <t>startrow</t>
  </si>
  <si>
    <t>endrow</t>
  </si>
  <si>
    <t>column</t>
  </si>
  <si>
    <t>A</t>
  </si>
  <si>
    <t>B</t>
  </si>
  <si>
    <t>H</t>
  </si>
  <si>
    <t>std.sign. 1</t>
  </si>
  <si>
    <t>std.sign. 2</t>
  </si>
  <si>
    <t>std 1</t>
  </si>
  <si>
    <t>std 2</t>
  </si>
  <si>
    <t>plot-faktor</t>
  </si>
  <si>
    <t>Depth (mm)</t>
  </si>
  <si>
    <t>O2 (uM)</t>
  </si>
  <si>
    <t>EP (mV)</t>
  </si>
  <si>
    <t>C</t>
  </si>
  <si>
    <t>Oureprofiles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</si>
</sst>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yy\ hh:mm:ss"/>
    <numFmt numFmtId="166" formatCode="dd\-mm\-yyyy\ hh\.mm\.ss"/>
  </numFmts>
  <fonts count="4" x14ac:knownFonts="1">
    <font>
      <sz val="10"/>
      <name val="Arial"/>
    </font>
    <font>
      <sz val="11"/>
      <color theme="1"/>
      <name val="Aptos Narrow"/>
      <family val="2"/>
      <scheme val="minor"/>
    </font>
    <font>
      <sz val="8.25"/>
      <color indexed="8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166" fontId="0" fillId="0" borderId="0" xfId="0" quotePrefix="1" applyNumberFormat="1"/>
    <xf numFmtId="0" fontId="0" fillId="0" borderId="0" xfId="0" quotePrefix="1"/>
    <xf numFmtId="0" fontId="3" fillId="0" borderId="0" xfId="0" applyFont="1"/>
  </cellXfs>
  <cellStyles count="3">
    <cellStyle name="Normal" xfId="0" builtinId="0"/>
    <cellStyle name="Normal 2" xfId="1" xr:uid="{13D6FC04-A14A-407B-B9CC-4E05F2DCBA78}"/>
    <cellStyle name="Normal 3" xfId="2" xr:uid="{61620C2C-26B6-41D4-B926-D1AC3EAA9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sæt1!$B$4</c:f>
          <c:strCache>
            <c:ptCount val="1"/>
            <c:pt idx="0">
              <c:v>sæt1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5.3112470599705086E-2"/>
          <c:y val="0.14655672907774764"/>
          <c:w val="0.8752916091427736"/>
          <c:h val="0.80997807761259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sæt1!$F$17</c:f>
              <c:strCache>
                <c:ptCount val="1"/>
                <c:pt idx="0">
                  <c:v>EP (mV) x 50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  <a:effectLst/>
            </c:spPr>
          </c:marker>
          <c:xVal>
            <c:numRef>
              <c:f>sæt1!$F$18:$F$170</c:f>
              <c:numCache>
                <c:formatCode>General</c:formatCode>
                <c:ptCount val="153"/>
                <c:pt idx="0">
                  <c:v>322.682189941405</c:v>
                </c:pt>
                <c:pt idx="1">
                  <c:v>309.552001953125</c:v>
                </c:pt>
                <c:pt idx="2">
                  <c:v>315.762329101565</c:v>
                </c:pt>
                <c:pt idx="3">
                  <c:v>309.788513183595</c:v>
                </c:pt>
                <c:pt idx="4">
                  <c:v>309.307861328125</c:v>
                </c:pt>
                <c:pt idx="5">
                  <c:v>313.7939453125</c:v>
                </c:pt>
                <c:pt idx="6">
                  <c:v>368.84765625</c:v>
                </c:pt>
                <c:pt idx="7">
                  <c:v>302.685546875</c:v>
                </c:pt>
                <c:pt idx="8">
                  <c:v>285.40496826172</c:v>
                </c:pt>
                <c:pt idx="9">
                  <c:v>273.709106445315</c:v>
                </c:pt>
                <c:pt idx="10">
                  <c:v>267.71240234375</c:v>
                </c:pt>
                <c:pt idx="11">
                  <c:v>261.24267578125</c:v>
                </c:pt>
                <c:pt idx="12">
                  <c:v>261.746215820315</c:v>
                </c:pt>
                <c:pt idx="13">
                  <c:v>257.75604248047</c:v>
                </c:pt>
                <c:pt idx="14">
                  <c:v>252.25524902344</c:v>
                </c:pt>
                <c:pt idx="15">
                  <c:v>241.96319580078</c:v>
                </c:pt>
                <c:pt idx="16">
                  <c:v>239.52178955078</c:v>
                </c:pt>
                <c:pt idx="17">
                  <c:v>232.13653564453</c:v>
                </c:pt>
                <c:pt idx="18">
                  <c:v>217.274475097655</c:v>
                </c:pt>
                <c:pt idx="19">
                  <c:v>208.56170654297</c:v>
                </c:pt>
                <c:pt idx="20">
                  <c:v>203.411865234375</c:v>
                </c:pt>
                <c:pt idx="21">
                  <c:v>194.325256347655</c:v>
                </c:pt>
                <c:pt idx="22">
                  <c:v>195.73669433594</c:v>
                </c:pt>
                <c:pt idx="23">
                  <c:v>187.893676757815</c:v>
                </c:pt>
                <c:pt idx="24">
                  <c:v>186.077880859375</c:v>
                </c:pt>
                <c:pt idx="25">
                  <c:v>175.53405761719</c:v>
                </c:pt>
                <c:pt idx="26">
                  <c:v>162.59460449219</c:v>
                </c:pt>
                <c:pt idx="27">
                  <c:v>173.573303222655</c:v>
                </c:pt>
                <c:pt idx="28">
                  <c:v>146.092224121095</c:v>
                </c:pt>
                <c:pt idx="29">
                  <c:v>145.10040283203</c:v>
                </c:pt>
                <c:pt idx="30">
                  <c:v>148.82354736328</c:v>
                </c:pt>
                <c:pt idx="31">
                  <c:v>239.25476074219</c:v>
                </c:pt>
                <c:pt idx="32">
                  <c:v>139.324951171875</c:v>
                </c:pt>
                <c:pt idx="33">
                  <c:v>123.53210449218999</c:v>
                </c:pt>
                <c:pt idx="34">
                  <c:v>99.995422363279999</c:v>
                </c:pt>
                <c:pt idx="35">
                  <c:v>104.94689941406499</c:v>
                </c:pt>
                <c:pt idx="36">
                  <c:v>126.751708984375</c:v>
                </c:pt>
                <c:pt idx="37">
                  <c:v>84.339904785154999</c:v>
                </c:pt>
                <c:pt idx="38">
                  <c:v>82.386779785154999</c:v>
                </c:pt>
                <c:pt idx="39">
                  <c:v>82.051086425779999</c:v>
                </c:pt>
                <c:pt idx="40">
                  <c:v>65.251159667970001</c:v>
                </c:pt>
                <c:pt idx="41">
                  <c:v>55.775451660155007</c:v>
                </c:pt>
                <c:pt idx="42">
                  <c:v>55.744934082030007</c:v>
                </c:pt>
                <c:pt idx="43">
                  <c:v>58.453369140625</c:v>
                </c:pt>
                <c:pt idx="44">
                  <c:v>44.659423828125</c:v>
                </c:pt>
                <c:pt idx="45">
                  <c:v>33.9630126953125</c:v>
                </c:pt>
                <c:pt idx="46">
                  <c:v>51.853942871094993</c:v>
                </c:pt>
                <c:pt idx="47">
                  <c:v>30.796813964844016</c:v>
                </c:pt>
                <c:pt idx="48">
                  <c:v>21.580505371094016</c:v>
                </c:pt>
                <c:pt idx="49">
                  <c:v>15.1031494140625</c:v>
                </c:pt>
                <c:pt idx="50">
                  <c:v>16.926574707031516</c:v>
                </c:pt>
                <c:pt idx="51">
                  <c:v>12.5091552734375</c:v>
                </c:pt>
                <c:pt idx="52">
                  <c:v>7.9849243164065165</c:v>
                </c:pt>
                <c:pt idx="53">
                  <c:v>5.474853515625</c:v>
                </c:pt>
                <c:pt idx="54">
                  <c:v>10.1898193359375</c:v>
                </c:pt>
                <c:pt idx="55">
                  <c:v>4.1244506835940165</c:v>
                </c:pt>
                <c:pt idx="56">
                  <c:v>0.3631591796875</c:v>
                </c:pt>
                <c:pt idx="57">
                  <c:v>1.629638671875</c:v>
                </c:pt>
                <c:pt idx="58">
                  <c:v>3.5751342773440165</c:v>
                </c:pt>
                <c:pt idx="59">
                  <c:v>-0.2471923828125</c:v>
                </c:pt>
                <c:pt idx="60">
                  <c:v>-1.5060424804684835</c:v>
                </c:pt>
                <c:pt idx="61">
                  <c:v>2.3239135742190165</c:v>
                </c:pt>
                <c:pt idx="62">
                  <c:v>2.8884887695315165</c:v>
                </c:pt>
                <c:pt idx="63">
                  <c:v>-1.57470703125</c:v>
                </c:pt>
                <c:pt idx="64">
                  <c:v>-2.4826049804684835</c:v>
                </c:pt>
                <c:pt idx="65">
                  <c:v>2.2781372070315165</c:v>
                </c:pt>
                <c:pt idx="66">
                  <c:v>0.714111328125</c:v>
                </c:pt>
                <c:pt idx="67">
                  <c:v>-1.6738891601559835</c:v>
                </c:pt>
                <c:pt idx="68">
                  <c:v>-1.5823364257809835</c:v>
                </c:pt>
                <c:pt idx="69">
                  <c:v>4.9560546875</c:v>
                </c:pt>
                <c:pt idx="70">
                  <c:v>0.9735107421875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</c:numCache>
            </c:numRef>
          </c:xVal>
          <c:yVal>
            <c:numRef>
              <c:f>sæt1!$D$18:$D$170</c:f>
              <c:numCache>
                <c:formatCode>General</c:formatCode>
                <c:ptCount val="153"/>
                <c:pt idx="0">
                  <c:v>5.7</c:v>
                </c:pt>
                <c:pt idx="1">
                  <c:v>5.6</c:v>
                </c:pt>
                <c:pt idx="2">
                  <c:v>5.5</c:v>
                </c:pt>
                <c:pt idx="3">
                  <c:v>5.4</c:v>
                </c:pt>
                <c:pt idx="4">
                  <c:v>5.3</c:v>
                </c:pt>
                <c:pt idx="5">
                  <c:v>5.2</c:v>
                </c:pt>
                <c:pt idx="6">
                  <c:v>5.0999999999999996</c:v>
                </c:pt>
                <c:pt idx="7">
                  <c:v>5</c:v>
                </c:pt>
                <c:pt idx="8">
                  <c:v>4.9000000000000004</c:v>
                </c:pt>
                <c:pt idx="9">
                  <c:v>4.8</c:v>
                </c:pt>
                <c:pt idx="10">
                  <c:v>4.7</c:v>
                </c:pt>
                <c:pt idx="11">
                  <c:v>4.5999999999999996</c:v>
                </c:pt>
                <c:pt idx="12">
                  <c:v>4.5</c:v>
                </c:pt>
                <c:pt idx="13">
                  <c:v>4.4000000000000004</c:v>
                </c:pt>
                <c:pt idx="14">
                  <c:v>4.3</c:v>
                </c:pt>
                <c:pt idx="15">
                  <c:v>4.2</c:v>
                </c:pt>
                <c:pt idx="16">
                  <c:v>4.0999999999999996</c:v>
                </c:pt>
                <c:pt idx="17">
                  <c:v>4</c:v>
                </c:pt>
                <c:pt idx="18">
                  <c:v>3.9</c:v>
                </c:pt>
                <c:pt idx="19">
                  <c:v>3.8</c:v>
                </c:pt>
                <c:pt idx="20">
                  <c:v>3.7</c:v>
                </c:pt>
                <c:pt idx="21">
                  <c:v>3.6</c:v>
                </c:pt>
                <c:pt idx="22">
                  <c:v>3.5</c:v>
                </c:pt>
                <c:pt idx="23">
                  <c:v>3.4</c:v>
                </c:pt>
                <c:pt idx="24">
                  <c:v>3.3</c:v>
                </c:pt>
                <c:pt idx="25">
                  <c:v>3.2</c:v>
                </c:pt>
                <c:pt idx="26">
                  <c:v>3.1</c:v>
                </c:pt>
                <c:pt idx="27">
                  <c:v>3</c:v>
                </c:pt>
                <c:pt idx="28">
                  <c:v>2.9</c:v>
                </c:pt>
                <c:pt idx="29">
                  <c:v>2.8</c:v>
                </c:pt>
                <c:pt idx="30">
                  <c:v>2.7</c:v>
                </c:pt>
                <c:pt idx="31">
                  <c:v>2.6</c:v>
                </c:pt>
                <c:pt idx="32">
                  <c:v>2.5</c:v>
                </c:pt>
                <c:pt idx="33">
                  <c:v>2.4</c:v>
                </c:pt>
                <c:pt idx="34">
                  <c:v>2.2999999999999998</c:v>
                </c:pt>
                <c:pt idx="35">
                  <c:v>2.2000000000000002</c:v>
                </c:pt>
                <c:pt idx="36">
                  <c:v>2.1</c:v>
                </c:pt>
                <c:pt idx="37">
                  <c:v>2</c:v>
                </c:pt>
                <c:pt idx="38">
                  <c:v>1.9</c:v>
                </c:pt>
                <c:pt idx="39">
                  <c:v>1.8</c:v>
                </c:pt>
                <c:pt idx="40">
                  <c:v>1.7</c:v>
                </c:pt>
                <c:pt idx="41">
                  <c:v>1.6</c:v>
                </c:pt>
                <c:pt idx="42">
                  <c:v>1.5</c:v>
                </c:pt>
                <c:pt idx="43">
                  <c:v>1.4</c:v>
                </c:pt>
                <c:pt idx="44">
                  <c:v>1.3</c:v>
                </c:pt>
                <c:pt idx="45">
                  <c:v>1.2</c:v>
                </c:pt>
                <c:pt idx="46">
                  <c:v>1.1000000000000001</c:v>
                </c:pt>
                <c:pt idx="47">
                  <c:v>1</c:v>
                </c:pt>
                <c:pt idx="48">
                  <c:v>0.9</c:v>
                </c:pt>
                <c:pt idx="49">
                  <c:v>0.8</c:v>
                </c:pt>
                <c:pt idx="50">
                  <c:v>0.7</c:v>
                </c:pt>
                <c:pt idx="51">
                  <c:v>0.6</c:v>
                </c:pt>
                <c:pt idx="52">
                  <c:v>0.5</c:v>
                </c:pt>
                <c:pt idx="53">
                  <c:v>0.4</c:v>
                </c:pt>
                <c:pt idx="54">
                  <c:v>0.3</c:v>
                </c:pt>
                <c:pt idx="55">
                  <c:v>0.2</c:v>
                </c:pt>
                <c:pt idx="56">
                  <c:v>0.1</c:v>
                </c:pt>
                <c:pt idx="57">
                  <c:v>0</c:v>
                </c:pt>
                <c:pt idx="58">
                  <c:v>-0.1</c:v>
                </c:pt>
                <c:pt idx="59">
                  <c:v>-0.2</c:v>
                </c:pt>
                <c:pt idx="60">
                  <c:v>-0.3</c:v>
                </c:pt>
                <c:pt idx="61">
                  <c:v>-0.4</c:v>
                </c:pt>
                <c:pt idx="62">
                  <c:v>-0.5</c:v>
                </c:pt>
                <c:pt idx="63">
                  <c:v>-0.6</c:v>
                </c:pt>
                <c:pt idx="64">
                  <c:v>-0.7</c:v>
                </c:pt>
                <c:pt idx="65">
                  <c:v>-0.8</c:v>
                </c:pt>
                <c:pt idx="66">
                  <c:v>-0.9</c:v>
                </c:pt>
                <c:pt idx="67">
                  <c:v>-1</c:v>
                </c:pt>
                <c:pt idx="68">
                  <c:v>-1.1000000000000001</c:v>
                </c:pt>
                <c:pt idx="69">
                  <c:v>-1.2</c:v>
                </c:pt>
                <c:pt idx="70">
                  <c:v>-1.3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E-418C-A8C8-08B1F58642CC}"/>
            </c:ext>
          </c:extLst>
        </c:ser>
        <c:ser>
          <c:idx val="0"/>
          <c:order val="1"/>
          <c:tx>
            <c:strRef>
              <c:f>sæt1!$K$17</c:f>
              <c:strCache>
                <c:ptCount val="1"/>
                <c:pt idx="0">
                  <c:v>O2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sæt1!$K$18:$K$170</c:f>
              <c:numCache>
                <c:formatCode>General</c:formatCode>
                <c:ptCount val="153"/>
                <c:pt idx="0">
                  <c:v>287.23712158203102</c:v>
                </c:pt>
                <c:pt idx="1">
                  <c:v>284.76834106445301</c:v>
                </c:pt>
                <c:pt idx="2">
                  <c:v>264.42477416992199</c:v>
                </c:pt>
                <c:pt idx="3">
                  <c:v>273.18243408203102</c:v>
                </c:pt>
                <c:pt idx="4">
                  <c:v>286.17047119140602</c:v>
                </c:pt>
                <c:pt idx="5">
                  <c:v>285.14810180664102</c:v>
                </c:pt>
                <c:pt idx="6">
                  <c:v>287.00985717773398</c:v>
                </c:pt>
                <c:pt idx="7">
                  <c:v>279.76177978515602</c:v>
                </c:pt>
                <c:pt idx="8">
                  <c:v>268.23324584960898</c:v>
                </c:pt>
                <c:pt idx="9">
                  <c:v>268.23034667968801</c:v>
                </c:pt>
                <c:pt idx="10">
                  <c:v>281.06585693359398</c:v>
                </c:pt>
                <c:pt idx="11">
                  <c:v>255.84861755371099</c:v>
                </c:pt>
                <c:pt idx="12">
                  <c:v>255.66926574707</c:v>
                </c:pt>
                <c:pt idx="13">
                  <c:v>253.51052856445301</c:v>
                </c:pt>
                <c:pt idx="14">
                  <c:v>246.29512023925801</c:v>
                </c:pt>
                <c:pt idx="15">
                  <c:v>244.95689392089801</c:v>
                </c:pt>
                <c:pt idx="16">
                  <c:v>239.64971923828099</c:v>
                </c:pt>
                <c:pt idx="17">
                  <c:v>232.31523132324199</c:v>
                </c:pt>
                <c:pt idx="18">
                  <c:v>227.42483520507801</c:v>
                </c:pt>
                <c:pt idx="19">
                  <c:v>220.645095825195</c:v>
                </c:pt>
                <c:pt idx="20">
                  <c:v>209.14561462402301</c:v>
                </c:pt>
                <c:pt idx="21">
                  <c:v>201.55625915527301</c:v>
                </c:pt>
                <c:pt idx="22">
                  <c:v>194.64073181152301</c:v>
                </c:pt>
                <c:pt idx="23">
                  <c:v>188.94871520996099</c:v>
                </c:pt>
                <c:pt idx="24">
                  <c:v>182.52478027343801</c:v>
                </c:pt>
                <c:pt idx="25">
                  <c:v>173.90434265136699</c:v>
                </c:pt>
                <c:pt idx="26">
                  <c:v>165.09294128418</c:v>
                </c:pt>
                <c:pt idx="27">
                  <c:v>156.82466125488301</c:v>
                </c:pt>
                <c:pt idx="28">
                  <c:v>150.60111999511699</c:v>
                </c:pt>
                <c:pt idx="29">
                  <c:v>145.61416625976599</c:v>
                </c:pt>
                <c:pt idx="30">
                  <c:v>142.02787780761699</c:v>
                </c:pt>
                <c:pt idx="31">
                  <c:v>139.45889282226599</c:v>
                </c:pt>
                <c:pt idx="32">
                  <c:v>135.07460021972699</c:v>
                </c:pt>
                <c:pt idx="33">
                  <c:v>128.18159484863301</c:v>
                </c:pt>
                <c:pt idx="34">
                  <c:v>122.951385498047</c:v>
                </c:pt>
                <c:pt idx="35">
                  <c:v>115.961074829102</c:v>
                </c:pt>
                <c:pt idx="36">
                  <c:v>105.89276123046901</c:v>
                </c:pt>
                <c:pt idx="37">
                  <c:v>97.702186584472699</c:v>
                </c:pt>
                <c:pt idx="38">
                  <c:v>89.030914306640597</c:v>
                </c:pt>
                <c:pt idx="39">
                  <c:v>80.302284240722699</c:v>
                </c:pt>
                <c:pt idx="40">
                  <c:v>71.713798522949205</c:v>
                </c:pt>
                <c:pt idx="41">
                  <c:v>62.875522613525398</c:v>
                </c:pt>
                <c:pt idx="42">
                  <c:v>55.874320983886697</c:v>
                </c:pt>
                <c:pt idx="43">
                  <c:v>49.527347564697301</c:v>
                </c:pt>
                <c:pt idx="44">
                  <c:v>43.4679145812988</c:v>
                </c:pt>
                <c:pt idx="45">
                  <c:v>37.947261810302699</c:v>
                </c:pt>
                <c:pt idx="46">
                  <c:v>31.905258178710898</c:v>
                </c:pt>
                <c:pt idx="47">
                  <c:v>27.268287658691399</c:v>
                </c:pt>
                <c:pt idx="48">
                  <c:v>22.3851623535156</c:v>
                </c:pt>
                <c:pt idx="49">
                  <c:v>17.477350234985401</c:v>
                </c:pt>
                <c:pt idx="50">
                  <c:v>11.934912681579601</c:v>
                </c:pt>
                <c:pt idx="51">
                  <c:v>8.2157506942749006</c:v>
                </c:pt>
                <c:pt idx="52">
                  <c:v>4.9649333953857404</c:v>
                </c:pt>
                <c:pt idx="53">
                  <c:v>2.8105494976043701</c:v>
                </c:pt>
                <c:pt idx="54">
                  <c:v>1.4236695766448999</c:v>
                </c:pt>
                <c:pt idx="55">
                  <c:v>0.74838250875473</c:v>
                </c:pt>
                <c:pt idx="56">
                  <c:v>0.34611469507217402</c:v>
                </c:pt>
                <c:pt idx="57">
                  <c:v>0.15805087983608199</c:v>
                </c:pt>
                <c:pt idx="58">
                  <c:v>4.3324682861566502E-2</c:v>
                </c:pt>
                <c:pt idx="59">
                  <c:v>1.21017303317785E-2</c:v>
                </c:pt>
                <c:pt idx="60">
                  <c:v>-6.4866475760936695E-2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</c:numCache>
            </c:numRef>
          </c:xVal>
          <c:yVal>
            <c:numRef>
              <c:f>sæt1!$J$18:$J$170</c:f>
              <c:numCache>
                <c:formatCode>General</c:formatCode>
                <c:ptCount val="153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-0.4</c:v>
                </c:pt>
                <c:pt idx="13">
                  <c:v>-0.35</c:v>
                </c:pt>
                <c:pt idx="14">
                  <c:v>-0.3</c:v>
                </c:pt>
                <c:pt idx="15">
                  <c:v>-0.25</c:v>
                </c:pt>
                <c:pt idx="16">
                  <c:v>-0.2</c:v>
                </c:pt>
                <c:pt idx="17">
                  <c:v>-0.15</c:v>
                </c:pt>
                <c:pt idx="18">
                  <c:v>-0.1</c:v>
                </c:pt>
                <c:pt idx="19">
                  <c:v>-0.05</c:v>
                </c:pt>
                <c:pt idx="20">
                  <c:v>0</c:v>
                </c:pt>
                <c:pt idx="21">
                  <c:v>0.05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0.35</c:v>
                </c:pt>
                <c:pt idx="28">
                  <c:v>0.4</c:v>
                </c:pt>
                <c:pt idx="29">
                  <c:v>0.45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</c:v>
                </c:pt>
                <c:pt idx="33">
                  <c:v>0.65</c:v>
                </c:pt>
                <c:pt idx="34">
                  <c:v>0.7</c:v>
                </c:pt>
                <c:pt idx="35">
                  <c:v>0.75</c:v>
                </c:pt>
                <c:pt idx="36">
                  <c:v>0.8</c:v>
                </c:pt>
                <c:pt idx="37">
                  <c:v>0.85</c:v>
                </c:pt>
                <c:pt idx="38">
                  <c:v>0.9</c:v>
                </c:pt>
                <c:pt idx="39">
                  <c:v>0.95</c:v>
                </c:pt>
                <c:pt idx="40">
                  <c:v>1</c:v>
                </c:pt>
                <c:pt idx="41">
                  <c:v>1.05</c:v>
                </c:pt>
                <c:pt idx="42">
                  <c:v>1.1000000000000001</c:v>
                </c:pt>
                <c:pt idx="43">
                  <c:v>1.1499999999999999</c:v>
                </c:pt>
                <c:pt idx="44">
                  <c:v>1.2</c:v>
                </c:pt>
                <c:pt idx="45">
                  <c:v>1.25</c:v>
                </c:pt>
                <c:pt idx="46">
                  <c:v>1.3</c:v>
                </c:pt>
                <c:pt idx="47">
                  <c:v>1.35</c:v>
                </c:pt>
                <c:pt idx="48">
                  <c:v>1.4</c:v>
                </c:pt>
                <c:pt idx="49">
                  <c:v>1.45</c:v>
                </c:pt>
                <c:pt idx="50">
                  <c:v>1.5</c:v>
                </c:pt>
                <c:pt idx="51">
                  <c:v>1.55</c:v>
                </c:pt>
                <c:pt idx="52">
                  <c:v>1.6</c:v>
                </c:pt>
                <c:pt idx="53">
                  <c:v>1.65</c:v>
                </c:pt>
                <c:pt idx="54">
                  <c:v>1.7</c:v>
                </c:pt>
                <c:pt idx="55">
                  <c:v>1.75</c:v>
                </c:pt>
                <c:pt idx="56">
                  <c:v>1.8</c:v>
                </c:pt>
                <c:pt idx="57">
                  <c:v>1.85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2E-418C-A8C8-08B1F5864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603840"/>
        <c:axId val="1"/>
      </c:scatterChart>
      <c:valAx>
        <c:axId val="80560384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DK"/>
          </a:p>
        </c:txPr>
        <c:crossAx val="1"/>
        <c:crosses val="autoZero"/>
        <c:crossBetween val="midCat"/>
      </c:valAx>
      <c:valAx>
        <c:axId val="1"/>
        <c:scaling>
          <c:orientation val="maxMin"/>
          <c:max val="6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056038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785109305552409"/>
          <c:y val="0.66823207737488899"/>
          <c:w val="0.3104267848628387"/>
          <c:h val="0.2666751008822818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216590</xdr:colOff>
      <xdr:row>4</xdr:row>
      <xdr:rowOff>67504</xdr:rowOff>
    </xdr:from>
    <xdr:to>
      <xdr:col>19</xdr:col>
      <xdr:colOff>521391</xdr:colOff>
      <xdr:row>23</xdr:row>
      <xdr:rowOff>134179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18AE8-BE79-4B7E-A373-4F090BBF1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655F-3555-4E96-BD5A-7418E3D7BB1F}">
  <dimension ref="A1:H1522"/>
  <sheetViews>
    <sheetView topLeftCell="A1165" workbookViewId="0">
      <selection sqref="A1:XFD1048576"/>
    </sheetView>
  </sheetViews>
  <sheetFormatPr defaultRowHeight="12.75" x14ac:dyDescent="0.2"/>
  <cols>
    <col min="1" max="1" width="15.7109375" customWidth="1"/>
    <col min="2" max="2" width="8.7109375" customWidth="1"/>
    <col min="3" max="3" width="16.7109375" customWidth="1"/>
    <col min="4" max="4" width="14.42578125" customWidth="1"/>
    <col min="5" max="5" width="15.7109375" customWidth="1"/>
    <col min="6" max="6" width="8.7109375" customWidth="1"/>
    <col min="7" max="7" width="16.28515625" customWidth="1"/>
    <col min="8" max="8" width="15" customWidth="1"/>
    <col min="257" max="257" width="15.7109375" customWidth="1"/>
    <col min="258" max="258" width="8.7109375" customWidth="1"/>
    <col min="259" max="259" width="16.7109375" customWidth="1"/>
    <col min="260" max="260" width="14.42578125" customWidth="1"/>
    <col min="261" max="261" width="15.7109375" customWidth="1"/>
    <col min="262" max="262" width="8.7109375" customWidth="1"/>
    <col min="263" max="263" width="16.28515625" customWidth="1"/>
    <col min="264" max="264" width="15" customWidth="1"/>
    <col min="513" max="513" width="15.7109375" customWidth="1"/>
    <col min="514" max="514" width="8.7109375" customWidth="1"/>
    <col min="515" max="515" width="16.7109375" customWidth="1"/>
    <col min="516" max="516" width="14.42578125" customWidth="1"/>
    <col min="517" max="517" width="15.7109375" customWidth="1"/>
    <col min="518" max="518" width="8.7109375" customWidth="1"/>
    <col min="519" max="519" width="16.28515625" customWidth="1"/>
    <col min="520" max="520" width="15" customWidth="1"/>
    <col min="769" max="769" width="15.7109375" customWidth="1"/>
    <col min="770" max="770" width="8.7109375" customWidth="1"/>
    <col min="771" max="771" width="16.7109375" customWidth="1"/>
    <col min="772" max="772" width="14.42578125" customWidth="1"/>
    <col min="773" max="773" width="15.7109375" customWidth="1"/>
    <col min="774" max="774" width="8.7109375" customWidth="1"/>
    <col min="775" max="775" width="16.28515625" customWidth="1"/>
    <col min="776" max="776" width="15" customWidth="1"/>
    <col min="1025" max="1025" width="15.7109375" customWidth="1"/>
    <col min="1026" max="1026" width="8.7109375" customWidth="1"/>
    <col min="1027" max="1027" width="16.7109375" customWidth="1"/>
    <col min="1028" max="1028" width="14.42578125" customWidth="1"/>
    <col min="1029" max="1029" width="15.7109375" customWidth="1"/>
    <col min="1030" max="1030" width="8.7109375" customWidth="1"/>
    <col min="1031" max="1031" width="16.28515625" customWidth="1"/>
    <col min="1032" max="1032" width="15" customWidth="1"/>
    <col min="1281" max="1281" width="15.7109375" customWidth="1"/>
    <col min="1282" max="1282" width="8.7109375" customWidth="1"/>
    <col min="1283" max="1283" width="16.7109375" customWidth="1"/>
    <col min="1284" max="1284" width="14.42578125" customWidth="1"/>
    <col min="1285" max="1285" width="15.7109375" customWidth="1"/>
    <col min="1286" max="1286" width="8.7109375" customWidth="1"/>
    <col min="1287" max="1287" width="16.28515625" customWidth="1"/>
    <col min="1288" max="1288" width="15" customWidth="1"/>
    <col min="1537" max="1537" width="15.7109375" customWidth="1"/>
    <col min="1538" max="1538" width="8.7109375" customWidth="1"/>
    <col min="1539" max="1539" width="16.7109375" customWidth="1"/>
    <col min="1540" max="1540" width="14.42578125" customWidth="1"/>
    <col min="1541" max="1541" width="15.7109375" customWidth="1"/>
    <col min="1542" max="1542" width="8.7109375" customWidth="1"/>
    <col min="1543" max="1543" width="16.28515625" customWidth="1"/>
    <col min="1544" max="1544" width="15" customWidth="1"/>
    <col min="1793" max="1793" width="15.7109375" customWidth="1"/>
    <col min="1794" max="1794" width="8.7109375" customWidth="1"/>
    <col min="1795" max="1795" width="16.7109375" customWidth="1"/>
    <col min="1796" max="1796" width="14.42578125" customWidth="1"/>
    <col min="1797" max="1797" width="15.7109375" customWidth="1"/>
    <col min="1798" max="1798" width="8.7109375" customWidth="1"/>
    <col min="1799" max="1799" width="16.28515625" customWidth="1"/>
    <col min="1800" max="1800" width="15" customWidth="1"/>
    <col min="2049" max="2049" width="15.7109375" customWidth="1"/>
    <col min="2050" max="2050" width="8.7109375" customWidth="1"/>
    <col min="2051" max="2051" width="16.7109375" customWidth="1"/>
    <col min="2052" max="2052" width="14.42578125" customWidth="1"/>
    <col min="2053" max="2053" width="15.7109375" customWidth="1"/>
    <col min="2054" max="2054" width="8.7109375" customWidth="1"/>
    <col min="2055" max="2055" width="16.28515625" customWidth="1"/>
    <col min="2056" max="2056" width="15" customWidth="1"/>
    <col min="2305" max="2305" width="15.7109375" customWidth="1"/>
    <col min="2306" max="2306" width="8.7109375" customWidth="1"/>
    <col min="2307" max="2307" width="16.7109375" customWidth="1"/>
    <col min="2308" max="2308" width="14.42578125" customWidth="1"/>
    <col min="2309" max="2309" width="15.7109375" customWidth="1"/>
    <col min="2310" max="2310" width="8.7109375" customWidth="1"/>
    <col min="2311" max="2311" width="16.28515625" customWidth="1"/>
    <col min="2312" max="2312" width="15" customWidth="1"/>
    <col min="2561" max="2561" width="15.7109375" customWidth="1"/>
    <col min="2562" max="2562" width="8.7109375" customWidth="1"/>
    <col min="2563" max="2563" width="16.7109375" customWidth="1"/>
    <col min="2564" max="2564" width="14.42578125" customWidth="1"/>
    <col min="2565" max="2565" width="15.7109375" customWidth="1"/>
    <col min="2566" max="2566" width="8.7109375" customWidth="1"/>
    <col min="2567" max="2567" width="16.28515625" customWidth="1"/>
    <col min="2568" max="2568" width="15" customWidth="1"/>
    <col min="2817" max="2817" width="15.7109375" customWidth="1"/>
    <col min="2818" max="2818" width="8.7109375" customWidth="1"/>
    <col min="2819" max="2819" width="16.7109375" customWidth="1"/>
    <col min="2820" max="2820" width="14.42578125" customWidth="1"/>
    <col min="2821" max="2821" width="15.7109375" customWidth="1"/>
    <col min="2822" max="2822" width="8.7109375" customWidth="1"/>
    <col min="2823" max="2823" width="16.28515625" customWidth="1"/>
    <col min="2824" max="2824" width="15" customWidth="1"/>
    <col min="3073" max="3073" width="15.7109375" customWidth="1"/>
    <col min="3074" max="3074" width="8.7109375" customWidth="1"/>
    <col min="3075" max="3075" width="16.7109375" customWidth="1"/>
    <col min="3076" max="3076" width="14.42578125" customWidth="1"/>
    <col min="3077" max="3077" width="15.7109375" customWidth="1"/>
    <col min="3078" max="3078" width="8.7109375" customWidth="1"/>
    <col min="3079" max="3079" width="16.28515625" customWidth="1"/>
    <col min="3080" max="3080" width="15" customWidth="1"/>
    <col min="3329" max="3329" width="15.7109375" customWidth="1"/>
    <col min="3330" max="3330" width="8.7109375" customWidth="1"/>
    <col min="3331" max="3331" width="16.7109375" customWidth="1"/>
    <col min="3332" max="3332" width="14.42578125" customWidth="1"/>
    <col min="3333" max="3333" width="15.7109375" customWidth="1"/>
    <col min="3334" max="3334" width="8.7109375" customWidth="1"/>
    <col min="3335" max="3335" width="16.28515625" customWidth="1"/>
    <col min="3336" max="3336" width="15" customWidth="1"/>
    <col min="3585" max="3585" width="15.7109375" customWidth="1"/>
    <col min="3586" max="3586" width="8.7109375" customWidth="1"/>
    <col min="3587" max="3587" width="16.7109375" customWidth="1"/>
    <col min="3588" max="3588" width="14.42578125" customWidth="1"/>
    <col min="3589" max="3589" width="15.7109375" customWidth="1"/>
    <col min="3590" max="3590" width="8.7109375" customWidth="1"/>
    <col min="3591" max="3591" width="16.28515625" customWidth="1"/>
    <col min="3592" max="3592" width="15" customWidth="1"/>
    <col min="3841" max="3841" width="15.7109375" customWidth="1"/>
    <col min="3842" max="3842" width="8.7109375" customWidth="1"/>
    <col min="3843" max="3843" width="16.7109375" customWidth="1"/>
    <col min="3844" max="3844" width="14.42578125" customWidth="1"/>
    <col min="3845" max="3845" width="15.7109375" customWidth="1"/>
    <col min="3846" max="3846" width="8.7109375" customWidth="1"/>
    <col min="3847" max="3847" width="16.28515625" customWidth="1"/>
    <col min="3848" max="3848" width="15" customWidth="1"/>
    <col min="4097" max="4097" width="15.7109375" customWidth="1"/>
    <col min="4098" max="4098" width="8.7109375" customWidth="1"/>
    <col min="4099" max="4099" width="16.7109375" customWidth="1"/>
    <col min="4100" max="4100" width="14.42578125" customWidth="1"/>
    <col min="4101" max="4101" width="15.7109375" customWidth="1"/>
    <col min="4102" max="4102" width="8.7109375" customWidth="1"/>
    <col min="4103" max="4103" width="16.28515625" customWidth="1"/>
    <col min="4104" max="4104" width="15" customWidth="1"/>
    <col min="4353" max="4353" width="15.7109375" customWidth="1"/>
    <col min="4354" max="4354" width="8.7109375" customWidth="1"/>
    <col min="4355" max="4355" width="16.7109375" customWidth="1"/>
    <col min="4356" max="4356" width="14.42578125" customWidth="1"/>
    <col min="4357" max="4357" width="15.7109375" customWidth="1"/>
    <col min="4358" max="4358" width="8.7109375" customWidth="1"/>
    <col min="4359" max="4359" width="16.28515625" customWidth="1"/>
    <col min="4360" max="4360" width="15" customWidth="1"/>
    <col min="4609" max="4609" width="15.7109375" customWidth="1"/>
    <col min="4610" max="4610" width="8.7109375" customWidth="1"/>
    <col min="4611" max="4611" width="16.7109375" customWidth="1"/>
    <col min="4612" max="4612" width="14.42578125" customWidth="1"/>
    <col min="4613" max="4613" width="15.7109375" customWidth="1"/>
    <col min="4614" max="4614" width="8.7109375" customWidth="1"/>
    <col min="4615" max="4615" width="16.28515625" customWidth="1"/>
    <col min="4616" max="4616" width="15" customWidth="1"/>
    <col min="4865" max="4865" width="15.7109375" customWidth="1"/>
    <col min="4866" max="4866" width="8.7109375" customWidth="1"/>
    <col min="4867" max="4867" width="16.7109375" customWidth="1"/>
    <col min="4868" max="4868" width="14.42578125" customWidth="1"/>
    <col min="4869" max="4869" width="15.7109375" customWidth="1"/>
    <col min="4870" max="4870" width="8.7109375" customWidth="1"/>
    <col min="4871" max="4871" width="16.28515625" customWidth="1"/>
    <col min="4872" max="4872" width="15" customWidth="1"/>
    <col min="5121" max="5121" width="15.7109375" customWidth="1"/>
    <col min="5122" max="5122" width="8.7109375" customWidth="1"/>
    <col min="5123" max="5123" width="16.7109375" customWidth="1"/>
    <col min="5124" max="5124" width="14.42578125" customWidth="1"/>
    <col min="5125" max="5125" width="15.7109375" customWidth="1"/>
    <col min="5126" max="5126" width="8.7109375" customWidth="1"/>
    <col min="5127" max="5127" width="16.28515625" customWidth="1"/>
    <col min="5128" max="5128" width="15" customWidth="1"/>
    <col min="5377" max="5377" width="15.7109375" customWidth="1"/>
    <col min="5378" max="5378" width="8.7109375" customWidth="1"/>
    <col min="5379" max="5379" width="16.7109375" customWidth="1"/>
    <col min="5380" max="5380" width="14.42578125" customWidth="1"/>
    <col min="5381" max="5381" width="15.7109375" customWidth="1"/>
    <col min="5382" max="5382" width="8.7109375" customWidth="1"/>
    <col min="5383" max="5383" width="16.28515625" customWidth="1"/>
    <col min="5384" max="5384" width="15" customWidth="1"/>
    <col min="5633" max="5633" width="15.7109375" customWidth="1"/>
    <col min="5634" max="5634" width="8.7109375" customWidth="1"/>
    <col min="5635" max="5635" width="16.7109375" customWidth="1"/>
    <col min="5636" max="5636" width="14.42578125" customWidth="1"/>
    <col min="5637" max="5637" width="15.7109375" customWidth="1"/>
    <col min="5638" max="5638" width="8.7109375" customWidth="1"/>
    <col min="5639" max="5639" width="16.28515625" customWidth="1"/>
    <col min="5640" max="5640" width="15" customWidth="1"/>
    <col min="5889" max="5889" width="15.7109375" customWidth="1"/>
    <col min="5890" max="5890" width="8.7109375" customWidth="1"/>
    <col min="5891" max="5891" width="16.7109375" customWidth="1"/>
    <col min="5892" max="5892" width="14.42578125" customWidth="1"/>
    <col min="5893" max="5893" width="15.7109375" customWidth="1"/>
    <col min="5894" max="5894" width="8.7109375" customWidth="1"/>
    <col min="5895" max="5895" width="16.28515625" customWidth="1"/>
    <col min="5896" max="5896" width="15" customWidth="1"/>
    <col min="6145" max="6145" width="15.7109375" customWidth="1"/>
    <col min="6146" max="6146" width="8.7109375" customWidth="1"/>
    <col min="6147" max="6147" width="16.7109375" customWidth="1"/>
    <col min="6148" max="6148" width="14.42578125" customWidth="1"/>
    <col min="6149" max="6149" width="15.7109375" customWidth="1"/>
    <col min="6150" max="6150" width="8.7109375" customWidth="1"/>
    <col min="6151" max="6151" width="16.28515625" customWidth="1"/>
    <col min="6152" max="6152" width="15" customWidth="1"/>
    <col min="6401" max="6401" width="15.7109375" customWidth="1"/>
    <col min="6402" max="6402" width="8.7109375" customWidth="1"/>
    <col min="6403" max="6403" width="16.7109375" customWidth="1"/>
    <col min="6404" max="6404" width="14.42578125" customWidth="1"/>
    <col min="6405" max="6405" width="15.7109375" customWidth="1"/>
    <col min="6406" max="6406" width="8.7109375" customWidth="1"/>
    <col min="6407" max="6407" width="16.28515625" customWidth="1"/>
    <col min="6408" max="6408" width="15" customWidth="1"/>
    <col min="6657" max="6657" width="15.7109375" customWidth="1"/>
    <col min="6658" max="6658" width="8.7109375" customWidth="1"/>
    <col min="6659" max="6659" width="16.7109375" customWidth="1"/>
    <col min="6660" max="6660" width="14.42578125" customWidth="1"/>
    <col min="6661" max="6661" width="15.7109375" customWidth="1"/>
    <col min="6662" max="6662" width="8.7109375" customWidth="1"/>
    <col min="6663" max="6663" width="16.28515625" customWidth="1"/>
    <col min="6664" max="6664" width="15" customWidth="1"/>
    <col min="6913" max="6913" width="15.7109375" customWidth="1"/>
    <col min="6914" max="6914" width="8.7109375" customWidth="1"/>
    <col min="6915" max="6915" width="16.7109375" customWidth="1"/>
    <col min="6916" max="6916" width="14.42578125" customWidth="1"/>
    <col min="6917" max="6917" width="15.7109375" customWidth="1"/>
    <col min="6918" max="6918" width="8.7109375" customWidth="1"/>
    <col min="6919" max="6919" width="16.28515625" customWidth="1"/>
    <col min="6920" max="6920" width="15" customWidth="1"/>
    <col min="7169" max="7169" width="15.7109375" customWidth="1"/>
    <col min="7170" max="7170" width="8.7109375" customWidth="1"/>
    <col min="7171" max="7171" width="16.7109375" customWidth="1"/>
    <col min="7172" max="7172" width="14.42578125" customWidth="1"/>
    <col min="7173" max="7173" width="15.7109375" customWidth="1"/>
    <col min="7174" max="7174" width="8.7109375" customWidth="1"/>
    <col min="7175" max="7175" width="16.28515625" customWidth="1"/>
    <col min="7176" max="7176" width="15" customWidth="1"/>
    <col min="7425" max="7425" width="15.7109375" customWidth="1"/>
    <col min="7426" max="7426" width="8.7109375" customWidth="1"/>
    <col min="7427" max="7427" width="16.7109375" customWidth="1"/>
    <col min="7428" max="7428" width="14.42578125" customWidth="1"/>
    <col min="7429" max="7429" width="15.7109375" customWidth="1"/>
    <col min="7430" max="7430" width="8.7109375" customWidth="1"/>
    <col min="7431" max="7431" width="16.28515625" customWidth="1"/>
    <col min="7432" max="7432" width="15" customWidth="1"/>
    <col min="7681" max="7681" width="15.7109375" customWidth="1"/>
    <col min="7682" max="7682" width="8.7109375" customWidth="1"/>
    <col min="7683" max="7683" width="16.7109375" customWidth="1"/>
    <col min="7684" max="7684" width="14.42578125" customWidth="1"/>
    <col min="7685" max="7685" width="15.7109375" customWidth="1"/>
    <col min="7686" max="7686" width="8.7109375" customWidth="1"/>
    <col min="7687" max="7687" width="16.28515625" customWidth="1"/>
    <col min="7688" max="7688" width="15" customWidth="1"/>
    <col min="7937" max="7937" width="15.7109375" customWidth="1"/>
    <col min="7938" max="7938" width="8.7109375" customWidth="1"/>
    <col min="7939" max="7939" width="16.7109375" customWidth="1"/>
    <col min="7940" max="7940" width="14.42578125" customWidth="1"/>
    <col min="7941" max="7941" width="15.7109375" customWidth="1"/>
    <col min="7942" max="7942" width="8.7109375" customWidth="1"/>
    <col min="7943" max="7943" width="16.28515625" customWidth="1"/>
    <col min="7944" max="7944" width="15" customWidth="1"/>
    <col min="8193" max="8193" width="15.7109375" customWidth="1"/>
    <col min="8194" max="8194" width="8.7109375" customWidth="1"/>
    <col min="8195" max="8195" width="16.7109375" customWidth="1"/>
    <col min="8196" max="8196" width="14.42578125" customWidth="1"/>
    <col min="8197" max="8197" width="15.7109375" customWidth="1"/>
    <col min="8198" max="8198" width="8.7109375" customWidth="1"/>
    <col min="8199" max="8199" width="16.28515625" customWidth="1"/>
    <col min="8200" max="8200" width="15" customWidth="1"/>
    <col min="8449" max="8449" width="15.7109375" customWidth="1"/>
    <col min="8450" max="8450" width="8.7109375" customWidth="1"/>
    <col min="8451" max="8451" width="16.7109375" customWidth="1"/>
    <col min="8452" max="8452" width="14.42578125" customWidth="1"/>
    <col min="8453" max="8453" width="15.7109375" customWidth="1"/>
    <col min="8454" max="8454" width="8.7109375" customWidth="1"/>
    <col min="8455" max="8455" width="16.28515625" customWidth="1"/>
    <col min="8456" max="8456" width="15" customWidth="1"/>
    <col min="8705" max="8705" width="15.7109375" customWidth="1"/>
    <col min="8706" max="8706" width="8.7109375" customWidth="1"/>
    <col min="8707" max="8707" width="16.7109375" customWidth="1"/>
    <col min="8708" max="8708" width="14.42578125" customWidth="1"/>
    <col min="8709" max="8709" width="15.7109375" customWidth="1"/>
    <col min="8710" max="8710" width="8.7109375" customWidth="1"/>
    <col min="8711" max="8711" width="16.28515625" customWidth="1"/>
    <col min="8712" max="8712" width="15" customWidth="1"/>
    <col min="8961" max="8961" width="15.7109375" customWidth="1"/>
    <col min="8962" max="8962" width="8.7109375" customWidth="1"/>
    <col min="8963" max="8963" width="16.7109375" customWidth="1"/>
    <col min="8964" max="8964" width="14.42578125" customWidth="1"/>
    <col min="8965" max="8965" width="15.7109375" customWidth="1"/>
    <col min="8966" max="8966" width="8.7109375" customWidth="1"/>
    <col min="8967" max="8967" width="16.28515625" customWidth="1"/>
    <col min="8968" max="8968" width="15" customWidth="1"/>
    <col min="9217" max="9217" width="15.7109375" customWidth="1"/>
    <col min="9218" max="9218" width="8.7109375" customWidth="1"/>
    <col min="9219" max="9219" width="16.7109375" customWidth="1"/>
    <col min="9220" max="9220" width="14.42578125" customWidth="1"/>
    <col min="9221" max="9221" width="15.7109375" customWidth="1"/>
    <col min="9222" max="9222" width="8.7109375" customWidth="1"/>
    <col min="9223" max="9223" width="16.28515625" customWidth="1"/>
    <col min="9224" max="9224" width="15" customWidth="1"/>
    <col min="9473" max="9473" width="15.7109375" customWidth="1"/>
    <col min="9474" max="9474" width="8.7109375" customWidth="1"/>
    <col min="9475" max="9475" width="16.7109375" customWidth="1"/>
    <col min="9476" max="9476" width="14.42578125" customWidth="1"/>
    <col min="9477" max="9477" width="15.7109375" customWidth="1"/>
    <col min="9478" max="9478" width="8.7109375" customWidth="1"/>
    <col min="9479" max="9479" width="16.28515625" customWidth="1"/>
    <col min="9480" max="9480" width="15" customWidth="1"/>
    <col min="9729" max="9729" width="15.7109375" customWidth="1"/>
    <col min="9730" max="9730" width="8.7109375" customWidth="1"/>
    <col min="9731" max="9731" width="16.7109375" customWidth="1"/>
    <col min="9732" max="9732" width="14.42578125" customWidth="1"/>
    <col min="9733" max="9733" width="15.7109375" customWidth="1"/>
    <col min="9734" max="9734" width="8.7109375" customWidth="1"/>
    <col min="9735" max="9735" width="16.28515625" customWidth="1"/>
    <col min="9736" max="9736" width="15" customWidth="1"/>
    <col min="9985" max="9985" width="15.7109375" customWidth="1"/>
    <col min="9986" max="9986" width="8.7109375" customWidth="1"/>
    <col min="9987" max="9987" width="16.7109375" customWidth="1"/>
    <col min="9988" max="9988" width="14.42578125" customWidth="1"/>
    <col min="9989" max="9989" width="15.7109375" customWidth="1"/>
    <col min="9990" max="9990" width="8.7109375" customWidth="1"/>
    <col min="9991" max="9991" width="16.28515625" customWidth="1"/>
    <col min="9992" max="9992" width="15" customWidth="1"/>
    <col min="10241" max="10241" width="15.7109375" customWidth="1"/>
    <col min="10242" max="10242" width="8.7109375" customWidth="1"/>
    <col min="10243" max="10243" width="16.7109375" customWidth="1"/>
    <col min="10244" max="10244" width="14.42578125" customWidth="1"/>
    <col min="10245" max="10245" width="15.7109375" customWidth="1"/>
    <col min="10246" max="10246" width="8.7109375" customWidth="1"/>
    <col min="10247" max="10247" width="16.28515625" customWidth="1"/>
    <col min="10248" max="10248" width="15" customWidth="1"/>
    <col min="10497" max="10497" width="15.7109375" customWidth="1"/>
    <col min="10498" max="10498" width="8.7109375" customWidth="1"/>
    <col min="10499" max="10499" width="16.7109375" customWidth="1"/>
    <col min="10500" max="10500" width="14.42578125" customWidth="1"/>
    <col min="10501" max="10501" width="15.7109375" customWidth="1"/>
    <col min="10502" max="10502" width="8.7109375" customWidth="1"/>
    <col min="10503" max="10503" width="16.28515625" customWidth="1"/>
    <col min="10504" max="10504" width="15" customWidth="1"/>
    <col min="10753" max="10753" width="15.7109375" customWidth="1"/>
    <col min="10754" max="10754" width="8.7109375" customWidth="1"/>
    <col min="10755" max="10755" width="16.7109375" customWidth="1"/>
    <col min="10756" max="10756" width="14.42578125" customWidth="1"/>
    <col min="10757" max="10757" width="15.7109375" customWidth="1"/>
    <col min="10758" max="10758" width="8.7109375" customWidth="1"/>
    <col min="10759" max="10759" width="16.28515625" customWidth="1"/>
    <col min="10760" max="10760" width="15" customWidth="1"/>
    <col min="11009" max="11009" width="15.7109375" customWidth="1"/>
    <col min="11010" max="11010" width="8.7109375" customWidth="1"/>
    <col min="11011" max="11011" width="16.7109375" customWidth="1"/>
    <col min="11012" max="11012" width="14.42578125" customWidth="1"/>
    <col min="11013" max="11013" width="15.7109375" customWidth="1"/>
    <col min="11014" max="11014" width="8.7109375" customWidth="1"/>
    <col min="11015" max="11015" width="16.28515625" customWidth="1"/>
    <col min="11016" max="11016" width="15" customWidth="1"/>
    <col min="11265" max="11265" width="15.7109375" customWidth="1"/>
    <col min="11266" max="11266" width="8.7109375" customWidth="1"/>
    <col min="11267" max="11267" width="16.7109375" customWidth="1"/>
    <col min="11268" max="11268" width="14.42578125" customWidth="1"/>
    <col min="11269" max="11269" width="15.7109375" customWidth="1"/>
    <col min="11270" max="11270" width="8.7109375" customWidth="1"/>
    <col min="11271" max="11271" width="16.28515625" customWidth="1"/>
    <col min="11272" max="11272" width="15" customWidth="1"/>
    <col min="11521" max="11521" width="15.7109375" customWidth="1"/>
    <col min="11522" max="11522" width="8.7109375" customWidth="1"/>
    <col min="11523" max="11523" width="16.7109375" customWidth="1"/>
    <col min="11524" max="11524" width="14.42578125" customWidth="1"/>
    <col min="11525" max="11525" width="15.7109375" customWidth="1"/>
    <col min="11526" max="11526" width="8.7109375" customWidth="1"/>
    <col min="11527" max="11527" width="16.28515625" customWidth="1"/>
    <col min="11528" max="11528" width="15" customWidth="1"/>
    <col min="11777" max="11777" width="15.7109375" customWidth="1"/>
    <col min="11778" max="11778" width="8.7109375" customWidth="1"/>
    <col min="11779" max="11779" width="16.7109375" customWidth="1"/>
    <col min="11780" max="11780" width="14.42578125" customWidth="1"/>
    <col min="11781" max="11781" width="15.7109375" customWidth="1"/>
    <col min="11782" max="11782" width="8.7109375" customWidth="1"/>
    <col min="11783" max="11783" width="16.28515625" customWidth="1"/>
    <col min="11784" max="11784" width="15" customWidth="1"/>
    <col min="12033" max="12033" width="15.7109375" customWidth="1"/>
    <col min="12034" max="12034" width="8.7109375" customWidth="1"/>
    <col min="12035" max="12035" width="16.7109375" customWidth="1"/>
    <col min="12036" max="12036" width="14.42578125" customWidth="1"/>
    <col min="12037" max="12037" width="15.7109375" customWidth="1"/>
    <col min="12038" max="12038" width="8.7109375" customWidth="1"/>
    <col min="12039" max="12039" width="16.28515625" customWidth="1"/>
    <col min="12040" max="12040" width="15" customWidth="1"/>
    <col min="12289" max="12289" width="15.7109375" customWidth="1"/>
    <col min="12290" max="12290" width="8.7109375" customWidth="1"/>
    <col min="12291" max="12291" width="16.7109375" customWidth="1"/>
    <col min="12292" max="12292" width="14.42578125" customWidth="1"/>
    <col min="12293" max="12293" width="15.7109375" customWidth="1"/>
    <col min="12294" max="12294" width="8.7109375" customWidth="1"/>
    <col min="12295" max="12295" width="16.28515625" customWidth="1"/>
    <col min="12296" max="12296" width="15" customWidth="1"/>
    <col min="12545" max="12545" width="15.7109375" customWidth="1"/>
    <col min="12546" max="12546" width="8.7109375" customWidth="1"/>
    <col min="12547" max="12547" width="16.7109375" customWidth="1"/>
    <col min="12548" max="12548" width="14.42578125" customWidth="1"/>
    <col min="12549" max="12549" width="15.7109375" customWidth="1"/>
    <col min="12550" max="12550" width="8.7109375" customWidth="1"/>
    <col min="12551" max="12551" width="16.28515625" customWidth="1"/>
    <col min="12552" max="12552" width="15" customWidth="1"/>
    <col min="12801" max="12801" width="15.7109375" customWidth="1"/>
    <col min="12802" max="12802" width="8.7109375" customWidth="1"/>
    <col min="12803" max="12803" width="16.7109375" customWidth="1"/>
    <col min="12804" max="12804" width="14.42578125" customWidth="1"/>
    <col min="12805" max="12805" width="15.7109375" customWidth="1"/>
    <col min="12806" max="12806" width="8.7109375" customWidth="1"/>
    <col min="12807" max="12807" width="16.28515625" customWidth="1"/>
    <col min="12808" max="12808" width="15" customWidth="1"/>
    <col min="13057" max="13057" width="15.7109375" customWidth="1"/>
    <col min="13058" max="13058" width="8.7109375" customWidth="1"/>
    <col min="13059" max="13059" width="16.7109375" customWidth="1"/>
    <col min="13060" max="13060" width="14.42578125" customWidth="1"/>
    <col min="13061" max="13061" width="15.7109375" customWidth="1"/>
    <col min="13062" max="13062" width="8.7109375" customWidth="1"/>
    <col min="13063" max="13063" width="16.28515625" customWidth="1"/>
    <col min="13064" max="13064" width="15" customWidth="1"/>
    <col min="13313" max="13313" width="15.7109375" customWidth="1"/>
    <col min="13314" max="13314" width="8.7109375" customWidth="1"/>
    <col min="13315" max="13315" width="16.7109375" customWidth="1"/>
    <col min="13316" max="13316" width="14.42578125" customWidth="1"/>
    <col min="13317" max="13317" width="15.7109375" customWidth="1"/>
    <col min="13318" max="13318" width="8.7109375" customWidth="1"/>
    <col min="13319" max="13319" width="16.28515625" customWidth="1"/>
    <col min="13320" max="13320" width="15" customWidth="1"/>
    <col min="13569" max="13569" width="15.7109375" customWidth="1"/>
    <col min="13570" max="13570" width="8.7109375" customWidth="1"/>
    <col min="13571" max="13571" width="16.7109375" customWidth="1"/>
    <col min="13572" max="13572" width="14.42578125" customWidth="1"/>
    <col min="13573" max="13573" width="15.7109375" customWidth="1"/>
    <col min="13574" max="13574" width="8.7109375" customWidth="1"/>
    <col min="13575" max="13575" width="16.28515625" customWidth="1"/>
    <col min="13576" max="13576" width="15" customWidth="1"/>
    <col min="13825" max="13825" width="15.7109375" customWidth="1"/>
    <col min="13826" max="13826" width="8.7109375" customWidth="1"/>
    <col min="13827" max="13827" width="16.7109375" customWidth="1"/>
    <col min="13828" max="13828" width="14.42578125" customWidth="1"/>
    <col min="13829" max="13829" width="15.7109375" customWidth="1"/>
    <col min="13830" max="13830" width="8.7109375" customWidth="1"/>
    <col min="13831" max="13831" width="16.28515625" customWidth="1"/>
    <col min="13832" max="13832" width="15" customWidth="1"/>
    <col min="14081" max="14081" width="15.7109375" customWidth="1"/>
    <col min="14082" max="14082" width="8.7109375" customWidth="1"/>
    <col min="14083" max="14083" width="16.7109375" customWidth="1"/>
    <col min="14084" max="14084" width="14.42578125" customWidth="1"/>
    <col min="14085" max="14085" width="15.7109375" customWidth="1"/>
    <col min="14086" max="14086" width="8.7109375" customWidth="1"/>
    <col min="14087" max="14087" width="16.28515625" customWidth="1"/>
    <col min="14088" max="14088" width="15" customWidth="1"/>
    <col min="14337" max="14337" width="15.7109375" customWidth="1"/>
    <col min="14338" max="14338" width="8.7109375" customWidth="1"/>
    <col min="14339" max="14339" width="16.7109375" customWidth="1"/>
    <col min="14340" max="14340" width="14.42578125" customWidth="1"/>
    <col min="14341" max="14341" width="15.7109375" customWidth="1"/>
    <col min="14342" max="14342" width="8.7109375" customWidth="1"/>
    <col min="14343" max="14343" width="16.28515625" customWidth="1"/>
    <col min="14344" max="14344" width="15" customWidth="1"/>
    <col min="14593" max="14593" width="15.7109375" customWidth="1"/>
    <col min="14594" max="14594" width="8.7109375" customWidth="1"/>
    <col min="14595" max="14595" width="16.7109375" customWidth="1"/>
    <col min="14596" max="14596" width="14.42578125" customWidth="1"/>
    <col min="14597" max="14597" width="15.7109375" customWidth="1"/>
    <col min="14598" max="14598" width="8.7109375" customWidth="1"/>
    <col min="14599" max="14599" width="16.28515625" customWidth="1"/>
    <col min="14600" max="14600" width="15" customWidth="1"/>
    <col min="14849" max="14849" width="15.7109375" customWidth="1"/>
    <col min="14850" max="14850" width="8.7109375" customWidth="1"/>
    <col min="14851" max="14851" width="16.7109375" customWidth="1"/>
    <col min="14852" max="14852" width="14.42578125" customWidth="1"/>
    <col min="14853" max="14853" width="15.7109375" customWidth="1"/>
    <col min="14854" max="14854" width="8.7109375" customWidth="1"/>
    <col min="14855" max="14855" width="16.28515625" customWidth="1"/>
    <col min="14856" max="14856" width="15" customWidth="1"/>
    <col min="15105" max="15105" width="15.7109375" customWidth="1"/>
    <col min="15106" max="15106" width="8.7109375" customWidth="1"/>
    <col min="15107" max="15107" width="16.7109375" customWidth="1"/>
    <col min="15108" max="15108" width="14.42578125" customWidth="1"/>
    <col min="15109" max="15109" width="15.7109375" customWidth="1"/>
    <col min="15110" max="15110" width="8.7109375" customWidth="1"/>
    <col min="15111" max="15111" width="16.28515625" customWidth="1"/>
    <col min="15112" max="15112" width="15" customWidth="1"/>
    <col min="15361" max="15361" width="15.7109375" customWidth="1"/>
    <col min="15362" max="15362" width="8.7109375" customWidth="1"/>
    <col min="15363" max="15363" width="16.7109375" customWidth="1"/>
    <col min="15364" max="15364" width="14.42578125" customWidth="1"/>
    <col min="15365" max="15365" width="15.7109375" customWidth="1"/>
    <col min="15366" max="15366" width="8.7109375" customWidth="1"/>
    <col min="15367" max="15367" width="16.28515625" customWidth="1"/>
    <col min="15368" max="15368" width="15" customWidth="1"/>
    <col min="15617" max="15617" width="15.7109375" customWidth="1"/>
    <col min="15618" max="15618" width="8.7109375" customWidth="1"/>
    <col min="15619" max="15619" width="16.7109375" customWidth="1"/>
    <col min="15620" max="15620" width="14.42578125" customWidth="1"/>
    <col min="15621" max="15621" width="15.7109375" customWidth="1"/>
    <col min="15622" max="15622" width="8.7109375" customWidth="1"/>
    <col min="15623" max="15623" width="16.28515625" customWidth="1"/>
    <col min="15624" max="15624" width="15" customWidth="1"/>
    <col min="15873" max="15873" width="15.7109375" customWidth="1"/>
    <col min="15874" max="15874" width="8.7109375" customWidth="1"/>
    <col min="15875" max="15875" width="16.7109375" customWidth="1"/>
    <col min="15876" max="15876" width="14.42578125" customWidth="1"/>
    <col min="15877" max="15877" width="15.7109375" customWidth="1"/>
    <col min="15878" max="15878" width="8.7109375" customWidth="1"/>
    <col min="15879" max="15879" width="16.28515625" customWidth="1"/>
    <col min="15880" max="15880" width="15" customWidth="1"/>
    <col min="16129" max="16129" width="15.7109375" customWidth="1"/>
    <col min="16130" max="16130" width="8.7109375" customWidth="1"/>
    <col min="16131" max="16131" width="16.7109375" customWidth="1"/>
    <col min="16132" max="16132" width="14.42578125" customWidth="1"/>
    <col min="16133" max="16133" width="15.7109375" customWidth="1"/>
    <col min="16134" max="16134" width="8.7109375" customWidth="1"/>
    <col min="16135" max="16135" width="16.28515625" customWidth="1"/>
    <col min="16136" max="16136" width="15" customWidth="1"/>
  </cols>
  <sheetData>
    <row r="1" spans="1:8" ht="14.25" customHeight="1" x14ac:dyDescent="0.2">
      <c r="A1" s="1" t="s">
        <v>2</v>
      </c>
      <c r="B1" s="1"/>
      <c r="C1" s="1"/>
      <c r="D1" s="1"/>
      <c r="E1" s="1" t="s">
        <v>3</v>
      </c>
      <c r="F1" s="1"/>
      <c r="G1" s="1"/>
      <c r="H1" s="1"/>
    </row>
    <row r="2" spans="1:8" ht="14.25" customHeight="1" x14ac:dyDescent="0.2">
      <c r="A2" s="1" t="s">
        <v>1</v>
      </c>
      <c r="B2" s="1" t="s">
        <v>4</v>
      </c>
      <c r="C2" s="1" t="s">
        <v>6</v>
      </c>
      <c r="D2" s="1" t="s">
        <v>5</v>
      </c>
      <c r="E2" s="1" t="s">
        <v>1</v>
      </c>
      <c r="F2" s="1" t="s">
        <v>4</v>
      </c>
      <c r="G2" s="1" t="s">
        <v>6</v>
      </c>
      <c r="H2" s="1" t="s">
        <v>5</v>
      </c>
    </row>
    <row r="3" spans="1:8" ht="14.25" customHeight="1" x14ac:dyDescent="0.2">
      <c r="A3" s="2">
        <v>46295.519224537034</v>
      </c>
      <c r="B3" s="1">
        <v>-2000</v>
      </c>
      <c r="C3" s="1" t="s">
        <v>0</v>
      </c>
      <c r="D3" s="1">
        <v>133.13674926757801</v>
      </c>
      <c r="E3" s="2">
        <v>46295.519224537034</v>
      </c>
      <c r="F3" s="1">
        <v>-2000</v>
      </c>
      <c r="G3" s="1" t="s">
        <v>0</v>
      </c>
      <c r="H3" s="1">
        <v>30.8308410644531</v>
      </c>
    </row>
    <row r="4" spans="1:8" ht="14.25" customHeight="1" x14ac:dyDescent="0.2">
      <c r="A4" s="2">
        <v>46295.519270833334</v>
      </c>
      <c r="B4" s="1">
        <v>-1500</v>
      </c>
      <c r="C4" s="1" t="s">
        <v>0</v>
      </c>
      <c r="D4" s="1">
        <v>133.16009521484401</v>
      </c>
      <c r="E4" s="2">
        <v>46295.519270833334</v>
      </c>
      <c r="F4" s="1">
        <v>-1500</v>
      </c>
      <c r="G4" s="1" t="s">
        <v>0</v>
      </c>
      <c r="H4" s="1">
        <v>30.8740234375</v>
      </c>
    </row>
    <row r="5" spans="1:8" ht="14.25" customHeight="1" x14ac:dyDescent="0.2">
      <c r="A5" s="2">
        <v>46295.519317129627</v>
      </c>
      <c r="B5" s="1">
        <v>-1000</v>
      </c>
      <c r="C5" s="1" t="s">
        <v>0</v>
      </c>
      <c r="D5" s="1">
        <v>133.21243286132801</v>
      </c>
      <c r="E5" s="2">
        <v>46295.519317129627</v>
      </c>
      <c r="F5" s="1">
        <v>-1000</v>
      </c>
      <c r="G5" s="1" t="s">
        <v>0</v>
      </c>
      <c r="H5" s="1">
        <v>30.8657836914063</v>
      </c>
    </row>
    <row r="6" spans="1:8" ht="14.25" customHeight="1" x14ac:dyDescent="0.2">
      <c r="A6" s="2">
        <v>46295.519363425927</v>
      </c>
      <c r="B6" s="1">
        <v>-500</v>
      </c>
      <c r="C6" s="1" t="s">
        <v>0</v>
      </c>
      <c r="D6" s="1">
        <v>133.18328857421901</v>
      </c>
      <c r="E6" s="2">
        <v>46295.519363425927</v>
      </c>
      <c r="F6" s="1">
        <v>-500</v>
      </c>
      <c r="G6" s="1" t="s">
        <v>0</v>
      </c>
      <c r="H6" s="1">
        <v>30.8319091796875</v>
      </c>
    </row>
    <row r="7" spans="1:8" ht="14.25" customHeight="1" x14ac:dyDescent="0.2">
      <c r="A7" s="2">
        <v>46295.519409722219</v>
      </c>
      <c r="B7" s="1">
        <v>0</v>
      </c>
      <c r="C7" s="1" t="s">
        <v>0</v>
      </c>
      <c r="D7" s="1">
        <v>133.16726684570301</v>
      </c>
      <c r="E7" s="2">
        <v>46295.519409722219</v>
      </c>
      <c r="F7" s="1">
        <v>0</v>
      </c>
      <c r="G7" s="1" t="s">
        <v>0</v>
      </c>
      <c r="H7" s="1">
        <v>30.8531188964844</v>
      </c>
    </row>
    <row r="8" spans="1:8" ht="14.25" customHeight="1" x14ac:dyDescent="0.2">
      <c r="A8" s="2">
        <v>46295.519456018519</v>
      </c>
      <c r="B8" s="1">
        <v>500</v>
      </c>
      <c r="C8" s="1" t="s">
        <v>0</v>
      </c>
      <c r="D8" s="1">
        <v>133.218994140625</v>
      </c>
      <c r="E8" s="2">
        <v>46295.519456018519</v>
      </c>
      <c r="F8" s="1">
        <v>500</v>
      </c>
      <c r="G8" s="1" t="s">
        <v>0</v>
      </c>
      <c r="H8" s="1">
        <v>30.8628845214844</v>
      </c>
    </row>
    <row r="9" spans="1:8" ht="14.25" customHeight="1" x14ac:dyDescent="0.2">
      <c r="A9" s="2">
        <v>46295.519502314812</v>
      </c>
      <c r="B9" s="1">
        <v>1000</v>
      </c>
      <c r="C9" s="1" t="s">
        <v>0</v>
      </c>
      <c r="D9" s="1">
        <v>133.26126098632801</v>
      </c>
      <c r="E9" s="2">
        <v>46295.519502314812</v>
      </c>
      <c r="F9" s="1">
        <v>1000</v>
      </c>
      <c r="G9" s="1" t="s">
        <v>0</v>
      </c>
      <c r="H9" s="1">
        <v>30.9031677246094</v>
      </c>
    </row>
    <row r="10" spans="1:8" ht="14.25" customHeight="1" x14ac:dyDescent="0.2">
      <c r="A10" s="2">
        <v>46295.519548611112</v>
      </c>
      <c r="B10" s="1">
        <v>1500</v>
      </c>
      <c r="C10" s="1" t="s">
        <v>0</v>
      </c>
      <c r="D10" s="1">
        <v>133.22235107421901</v>
      </c>
      <c r="E10" s="2">
        <v>46295.519548611112</v>
      </c>
      <c r="F10" s="1">
        <v>1500</v>
      </c>
      <c r="G10" s="1" t="s">
        <v>0</v>
      </c>
      <c r="H10" s="1">
        <v>30.9233093261719</v>
      </c>
    </row>
    <row r="11" spans="1:8" ht="14.25" customHeight="1" x14ac:dyDescent="0.2">
      <c r="A11" s="2">
        <v>46295.519594907404</v>
      </c>
      <c r="B11" s="1">
        <v>2000</v>
      </c>
      <c r="C11" s="1" t="s">
        <v>0</v>
      </c>
      <c r="D11" s="1">
        <v>133.23883056640599</v>
      </c>
      <c r="E11" s="2">
        <v>46295.519594907404</v>
      </c>
      <c r="F11" s="1">
        <v>2000</v>
      </c>
      <c r="G11" s="1" t="s">
        <v>0</v>
      </c>
      <c r="H11" s="1">
        <v>30.9736633300781</v>
      </c>
    </row>
    <row r="12" spans="1:8" ht="14.25" customHeight="1" x14ac:dyDescent="0.2">
      <c r="A12" s="2">
        <v>46295.519641203704</v>
      </c>
      <c r="B12" s="1">
        <v>2500</v>
      </c>
      <c r="C12" s="1" t="s">
        <v>0</v>
      </c>
      <c r="D12" s="1">
        <v>133.21044921875</v>
      </c>
      <c r="E12" s="2">
        <v>46295.519641203704</v>
      </c>
      <c r="F12" s="1">
        <v>2500</v>
      </c>
      <c r="G12" s="1" t="s">
        <v>0</v>
      </c>
      <c r="H12" s="1">
        <v>30.9780883789063</v>
      </c>
    </row>
    <row r="13" spans="1:8" ht="14.25" customHeight="1" x14ac:dyDescent="0.2">
      <c r="A13" s="2">
        <v>46295.519687499997</v>
      </c>
      <c r="B13" s="1">
        <v>3000</v>
      </c>
      <c r="C13" s="1" t="s">
        <v>0</v>
      </c>
      <c r="D13" s="1">
        <v>133.24630737304699</v>
      </c>
      <c r="E13" s="2">
        <v>46295.519687499997</v>
      </c>
      <c r="F13" s="1">
        <v>3000</v>
      </c>
      <c r="G13" s="1" t="s">
        <v>0</v>
      </c>
      <c r="H13" s="1">
        <v>30.8929443359375</v>
      </c>
    </row>
    <row r="14" spans="1:8" ht="14.25" customHeight="1" x14ac:dyDescent="0.2">
      <c r="A14" s="2">
        <v>46295.519733796296</v>
      </c>
      <c r="B14" s="1">
        <v>3500</v>
      </c>
      <c r="C14" s="1" t="s">
        <v>0</v>
      </c>
      <c r="D14" s="1">
        <v>133.22326660156301</v>
      </c>
      <c r="E14" s="2">
        <v>46295.519733796296</v>
      </c>
      <c r="F14" s="1">
        <v>3500</v>
      </c>
      <c r="G14" s="1" t="s">
        <v>0</v>
      </c>
      <c r="H14" s="1">
        <v>30.8799743652344</v>
      </c>
    </row>
    <row r="15" spans="1:8" ht="14.25" customHeight="1" x14ac:dyDescent="0.2">
      <c r="A15" s="2">
        <v>46295.519780092596</v>
      </c>
      <c r="B15" s="1">
        <v>4000</v>
      </c>
      <c r="C15" s="1" t="s">
        <v>0</v>
      </c>
      <c r="D15" s="1">
        <v>133.26263427734401</v>
      </c>
      <c r="E15" s="2">
        <v>46295.519780092596</v>
      </c>
      <c r="F15" s="1">
        <v>4000</v>
      </c>
      <c r="G15" s="1" t="s">
        <v>0</v>
      </c>
      <c r="H15" s="1">
        <v>30.8651733398438</v>
      </c>
    </row>
    <row r="16" spans="1:8" ht="14.25" customHeight="1" x14ac:dyDescent="0.2">
      <c r="A16" s="2">
        <v>46295.519826388889</v>
      </c>
      <c r="B16" s="1">
        <v>4500</v>
      </c>
      <c r="C16" s="1" t="s">
        <v>0</v>
      </c>
      <c r="D16" s="1">
        <v>133.29483032226599</v>
      </c>
      <c r="E16" s="2">
        <v>46295.519826388889</v>
      </c>
      <c r="F16" s="1">
        <v>4500</v>
      </c>
      <c r="G16" s="1" t="s">
        <v>0</v>
      </c>
      <c r="H16" s="1">
        <v>30.8790588378906</v>
      </c>
    </row>
    <row r="17" spans="1:8" ht="14.25" customHeight="1" x14ac:dyDescent="0.2">
      <c r="A17" s="2">
        <v>46295.519872685189</v>
      </c>
      <c r="B17" s="1">
        <v>5000</v>
      </c>
      <c r="C17" s="1" t="s">
        <v>0</v>
      </c>
      <c r="D17" s="1">
        <v>133.28094482421901</v>
      </c>
      <c r="E17" s="2">
        <v>46295.519872685189</v>
      </c>
      <c r="F17" s="1">
        <v>5000</v>
      </c>
      <c r="G17" s="1" t="s">
        <v>0</v>
      </c>
      <c r="H17" s="1">
        <v>30.8438110351563</v>
      </c>
    </row>
    <row r="18" spans="1:8" ht="14.25" customHeight="1" x14ac:dyDescent="0.2">
      <c r="A18" s="2">
        <v>46295.519918981481</v>
      </c>
      <c r="B18" s="1">
        <v>5500</v>
      </c>
      <c r="C18" s="1" t="s">
        <v>0</v>
      </c>
      <c r="D18" s="1">
        <v>133.31069946289099</v>
      </c>
      <c r="E18" s="2">
        <v>46295.519918981481</v>
      </c>
      <c r="F18" s="1">
        <v>5500</v>
      </c>
      <c r="G18" s="1" t="s">
        <v>0</v>
      </c>
      <c r="H18" s="1">
        <v>30.8395385742188</v>
      </c>
    </row>
    <row r="19" spans="1:8" ht="14.25" customHeight="1" x14ac:dyDescent="0.2">
      <c r="A19" s="2">
        <v>46295.519965277781</v>
      </c>
      <c r="B19" s="1">
        <v>6000</v>
      </c>
      <c r="C19" s="1" t="s">
        <v>0</v>
      </c>
      <c r="D19" s="1">
        <v>133.250732421875</v>
      </c>
      <c r="E19" s="2">
        <v>46295.519965277781</v>
      </c>
      <c r="F19" s="1">
        <v>6000</v>
      </c>
      <c r="G19" s="1" t="s">
        <v>0</v>
      </c>
      <c r="H19" s="1">
        <v>30.78369140625</v>
      </c>
    </row>
    <row r="20" spans="1:8" ht="14.25" customHeight="1" x14ac:dyDescent="0.2">
      <c r="A20" s="2">
        <v>46295.520011574074</v>
      </c>
      <c r="B20" s="1">
        <v>6500</v>
      </c>
      <c r="C20" s="1" t="s">
        <v>0</v>
      </c>
      <c r="D20" s="1">
        <v>133.24371337890599</v>
      </c>
      <c r="E20" s="2">
        <v>46295.520011574074</v>
      </c>
      <c r="F20" s="1">
        <v>6500</v>
      </c>
      <c r="G20" s="1" t="s">
        <v>0</v>
      </c>
      <c r="H20" s="1">
        <v>30.7954406738281</v>
      </c>
    </row>
    <row r="21" spans="1:8" ht="14.25" customHeight="1" x14ac:dyDescent="0.2">
      <c r="A21" s="2">
        <v>46295.520057870373</v>
      </c>
      <c r="B21" s="1">
        <v>7000</v>
      </c>
      <c r="C21" s="1" t="s">
        <v>0</v>
      </c>
      <c r="D21" s="1">
        <v>133.27575683593801</v>
      </c>
      <c r="E21" s="2">
        <v>46295.520057870373</v>
      </c>
      <c r="F21" s="1">
        <v>7000</v>
      </c>
      <c r="G21" s="1" t="s">
        <v>0</v>
      </c>
      <c r="H21" s="1">
        <v>30.8006286621094</v>
      </c>
    </row>
    <row r="22" spans="1:8" ht="14.25" customHeight="1" x14ac:dyDescent="0.2">
      <c r="A22" s="2">
        <v>46295.520104166666</v>
      </c>
      <c r="B22" s="1">
        <v>7500</v>
      </c>
      <c r="C22" s="1" t="s">
        <v>0</v>
      </c>
      <c r="D22" s="1">
        <v>133.30963134765599</v>
      </c>
      <c r="E22" s="2">
        <v>46295.520104166666</v>
      </c>
      <c r="F22" s="1">
        <v>7500</v>
      </c>
      <c r="G22" s="1" t="s">
        <v>0</v>
      </c>
      <c r="H22" s="1">
        <v>30.7670593261719</v>
      </c>
    </row>
    <row r="23" spans="1:8" ht="14.25" customHeight="1" x14ac:dyDescent="0.2">
      <c r="A23" s="2">
        <v>46295.520150462966</v>
      </c>
      <c r="B23" s="1">
        <v>8000</v>
      </c>
      <c r="C23" s="1" t="s">
        <v>0</v>
      </c>
      <c r="D23" s="1">
        <v>133.30383300781301</v>
      </c>
      <c r="E23" s="2">
        <v>46295.520150462966</v>
      </c>
      <c r="F23" s="1">
        <v>8000</v>
      </c>
      <c r="G23" s="1" t="s">
        <v>0</v>
      </c>
      <c r="H23" s="1">
        <v>30.7769775390625</v>
      </c>
    </row>
    <row r="24" spans="1:8" ht="14.25" customHeight="1" x14ac:dyDescent="0.2">
      <c r="A24" s="2">
        <v>46295.520196759258</v>
      </c>
      <c r="B24" s="1">
        <v>8500</v>
      </c>
      <c r="C24" s="1" t="s">
        <v>0</v>
      </c>
      <c r="D24" s="1">
        <v>133.33160400390599</v>
      </c>
      <c r="E24" s="2">
        <v>46295.520196759258</v>
      </c>
      <c r="F24" s="1">
        <v>8500</v>
      </c>
      <c r="G24" s="1" t="s">
        <v>0</v>
      </c>
      <c r="H24" s="1">
        <v>30.7524108886719</v>
      </c>
    </row>
    <row r="25" spans="1:8" ht="14.25" customHeight="1" x14ac:dyDescent="0.2">
      <c r="A25" s="2">
        <v>46295.520243055558</v>
      </c>
      <c r="B25" s="1">
        <v>9000</v>
      </c>
      <c r="C25" s="1" t="s">
        <v>0</v>
      </c>
      <c r="D25" s="1">
        <v>133.30749511718801</v>
      </c>
      <c r="E25" s="2">
        <v>46295.520243055558</v>
      </c>
      <c r="F25" s="1">
        <v>9000</v>
      </c>
      <c r="G25" s="1" t="s">
        <v>0</v>
      </c>
      <c r="H25" s="1">
        <v>30.7540893554688</v>
      </c>
    </row>
    <row r="26" spans="1:8" ht="14.25" customHeight="1" x14ac:dyDescent="0.2">
      <c r="A26" s="2">
        <v>46295.520289351851</v>
      </c>
      <c r="B26" s="1">
        <v>9500</v>
      </c>
      <c r="C26" s="1" t="s">
        <v>0</v>
      </c>
      <c r="D26" s="1">
        <v>133.30078125</v>
      </c>
      <c r="E26" s="2">
        <v>46295.520289351851</v>
      </c>
      <c r="F26" s="1">
        <v>9500</v>
      </c>
      <c r="G26" s="1" t="s">
        <v>0</v>
      </c>
      <c r="H26" s="1">
        <v>30.7183837890625</v>
      </c>
    </row>
    <row r="27" spans="1:8" ht="14.25" customHeight="1" x14ac:dyDescent="0.2">
      <c r="A27" s="2">
        <v>46295.520335648151</v>
      </c>
      <c r="B27" s="1">
        <v>10000</v>
      </c>
      <c r="C27" s="1" t="s">
        <v>0</v>
      </c>
      <c r="D27" s="1">
        <v>133.33526611328099</v>
      </c>
      <c r="E27" s="2">
        <v>46295.520335648151</v>
      </c>
      <c r="F27" s="1">
        <v>10000</v>
      </c>
      <c r="G27" s="1" t="s">
        <v>0</v>
      </c>
      <c r="H27" s="1">
        <v>30.6953430175781</v>
      </c>
    </row>
    <row r="28" spans="1:8" ht="14.2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4.25" customHeight="1" x14ac:dyDescent="0.2">
      <c r="A29" s="2">
        <v>46295.52070601852</v>
      </c>
      <c r="B29" s="1">
        <v>10000</v>
      </c>
      <c r="C29" s="1" t="s">
        <v>0</v>
      </c>
      <c r="D29" s="1">
        <v>133.32427978515599</v>
      </c>
      <c r="E29" s="2">
        <v>46295.52070601852</v>
      </c>
      <c r="F29" s="1">
        <v>10000</v>
      </c>
      <c r="G29" s="1" t="s">
        <v>0</v>
      </c>
      <c r="H29" s="1">
        <v>30.7095336914063</v>
      </c>
    </row>
    <row r="30" spans="1:8" ht="14.25" customHeight="1" x14ac:dyDescent="0.2">
      <c r="A30" s="2">
        <v>46295.520752314813</v>
      </c>
      <c r="B30" s="1">
        <v>9500</v>
      </c>
      <c r="C30" s="1" t="s">
        <v>0</v>
      </c>
      <c r="D30" s="1">
        <v>133.36013793945301</v>
      </c>
      <c r="E30" s="2">
        <v>46295.520752314813</v>
      </c>
      <c r="F30" s="1">
        <v>9500</v>
      </c>
      <c r="G30" s="1" t="s">
        <v>0</v>
      </c>
      <c r="H30" s="1">
        <v>30.7243347167969</v>
      </c>
    </row>
    <row r="31" spans="1:8" ht="14.25" customHeight="1" x14ac:dyDescent="0.2">
      <c r="A31" s="2">
        <v>46295.520798611113</v>
      </c>
      <c r="B31" s="1">
        <v>9000</v>
      </c>
      <c r="C31" s="1" t="s">
        <v>0</v>
      </c>
      <c r="D31" s="1">
        <v>133.33877563476599</v>
      </c>
      <c r="E31" s="2">
        <v>46295.520798611113</v>
      </c>
      <c r="F31" s="1">
        <v>9000</v>
      </c>
      <c r="G31" s="1" t="s">
        <v>0</v>
      </c>
      <c r="H31" s="1">
        <v>30.7499694824219</v>
      </c>
    </row>
    <row r="32" spans="1:8" ht="14.25" customHeight="1" x14ac:dyDescent="0.2">
      <c r="A32" s="2">
        <v>46295.520844907405</v>
      </c>
      <c r="B32" s="1">
        <v>8500</v>
      </c>
      <c r="C32" s="1" t="s">
        <v>0</v>
      </c>
      <c r="D32" s="1">
        <v>133.33221435546901</v>
      </c>
      <c r="E32" s="2">
        <v>46295.520844907405</v>
      </c>
      <c r="F32" s="1">
        <v>8500</v>
      </c>
      <c r="G32" s="1" t="s">
        <v>0</v>
      </c>
      <c r="H32" s="1">
        <v>30.7601928710938</v>
      </c>
    </row>
    <row r="33" spans="1:8" ht="14.25" customHeight="1" x14ac:dyDescent="0.2">
      <c r="A33" s="2">
        <v>46295.520891203705</v>
      </c>
      <c r="B33" s="1">
        <v>8000</v>
      </c>
      <c r="C33" s="1" t="s">
        <v>0</v>
      </c>
      <c r="D33" s="1">
        <v>133.32977294921901</v>
      </c>
      <c r="E33" s="2">
        <v>46295.520891203705</v>
      </c>
      <c r="F33" s="1">
        <v>8000</v>
      </c>
      <c r="G33" s="1" t="s">
        <v>0</v>
      </c>
      <c r="H33" s="1">
        <v>30.7626342773438</v>
      </c>
    </row>
    <row r="34" spans="1:8" ht="14.25" customHeight="1" x14ac:dyDescent="0.2">
      <c r="A34" s="2">
        <v>46295.520937499998</v>
      </c>
      <c r="B34" s="1">
        <v>7500</v>
      </c>
      <c r="C34" s="1" t="s">
        <v>0</v>
      </c>
      <c r="D34" s="1">
        <v>133.34655761718801</v>
      </c>
      <c r="E34" s="2">
        <v>46295.520937499998</v>
      </c>
      <c r="F34" s="1">
        <v>7500</v>
      </c>
      <c r="G34" s="1" t="s">
        <v>0</v>
      </c>
      <c r="H34" s="1">
        <v>30.7958984375</v>
      </c>
    </row>
    <row r="35" spans="1:8" ht="14.25" customHeight="1" x14ac:dyDescent="0.2">
      <c r="A35" s="2">
        <v>46295.520983796298</v>
      </c>
      <c r="B35" s="1">
        <v>7000</v>
      </c>
      <c r="C35" s="1" t="s">
        <v>0</v>
      </c>
      <c r="D35" s="1">
        <v>133.36730957031301</v>
      </c>
      <c r="E35" s="2">
        <v>46295.520983796298</v>
      </c>
      <c r="F35" s="1">
        <v>7000</v>
      </c>
      <c r="G35" s="1" t="s">
        <v>0</v>
      </c>
      <c r="H35" s="1">
        <v>30.819091796875</v>
      </c>
    </row>
    <row r="36" spans="1:8" ht="14.25" customHeight="1" x14ac:dyDescent="0.2">
      <c r="A36" s="2">
        <v>46295.52103009259</v>
      </c>
      <c r="B36" s="1">
        <v>6500</v>
      </c>
      <c r="C36" s="1" t="s">
        <v>0</v>
      </c>
      <c r="D36" s="1">
        <v>133.360595703125</v>
      </c>
      <c r="E36" s="2">
        <v>46295.52103009259</v>
      </c>
      <c r="F36" s="1">
        <v>6500</v>
      </c>
      <c r="G36" s="1" t="s">
        <v>0</v>
      </c>
      <c r="H36" s="1">
        <v>30.8192443847656</v>
      </c>
    </row>
    <row r="37" spans="1:8" ht="14.25" customHeight="1" x14ac:dyDescent="0.2">
      <c r="A37" s="2">
        <v>46295.52107638889</v>
      </c>
      <c r="B37" s="1">
        <v>6000</v>
      </c>
      <c r="C37" s="1" t="s">
        <v>0</v>
      </c>
      <c r="D37" s="1">
        <v>133.36746215820301</v>
      </c>
      <c r="E37" s="2">
        <v>46295.52107638889</v>
      </c>
      <c r="F37" s="1">
        <v>6000</v>
      </c>
      <c r="G37" s="1" t="s">
        <v>0</v>
      </c>
      <c r="H37" s="1">
        <v>30.8692932128906</v>
      </c>
    </row>
    <row r="38" spans="1:8" ht="14.25" customHeight="1" x14ac:dyDescent="0.2">
      <c r="A38" s="2">
        <v>46295.521122685182</v>
      </c>
      <c r="B38" s="1">
        <v>5500</v>
      </c>
      <c r="C38" s="1" t="s">
        <v>0</v>
      </c>
      <c r="D38" s="1">
        <v>133.40530395507801</v>
      </c>
      <c r="E38" s="2">
        <v>46295.521122685182</v>
      </c>
      <c r="F38" s="1">
        <v>5500</v>
      </c>
      <c r="G38" s="1" t="s">
        <v>0</v>
      </c>
      <c r="H38" s="1">
        <v>30.8917236328125</v>
      </c>
    </row>
    <row r="39" spans="1:8" ht="14.25" customHeight="1" x14ac:dyDescent="0.2">
      <c r="A39" s="2">
        <v>46295.521168981482</v>
      </c>
      <c r="B39" s="1">
        <v>5000</v>
      </c>
      <c r="C39" s="1" t="s">
        <v>0</v>
      </c>
      <c r="D39" s="1">
        <v>133.41354370117199</v>
      </c>
      <c r="E39" s="2">
        <v>46295.521168981482</v>
      </c>
      <c r="F39" s="1">
        <v>5000</v>
      </c>
      <c r="G39" s="1" t="s">
        <v>0</v>
      </c>
      <c r="H39" s="1">
        <v>30.8901977539063</v>
      </c>
    </row>
    <row r="40" spans="1:8" ht="14.25" customHeight="1" x14ac:dyDescent="0.2">
      <c r="A40" s="2">
        <v>46295.521215277775</v>
      </c>
      <c r="B40" s="1">
        <v>4500</v>
      </c>
      <c r="C40" s="1" t="s">
        <v>0</v>
      </c>
      <c r="D40" s="1">
        <v>133.42910766601599</v>
      </c>
      <c r="E40" s="2">
        <v>46295.521215277775</v>
      </c>
      <c r="F40" s="1">
        <v>4500</v>
      </c>
      <c r="G40" s="1" t="s">
        <v>0</v>
      </c>
      <c r="H40" s="1">
        <v>30.8837890625</v>
      </c>
    </row>
    <row r="41" spans="1:8" ht="14.25" customHeight="1" x14ac:dyDescent="0.2">
      <c r="A41" s="2">
        <v>46295.521261574075</v>
      </c>
      <c r="B41" s="1">
        <v>4000</v>
      </c>
      <c r="C41" s="1" t="s">
        <v>0</v>
      </c>
      <c r="D41" s="1">
        <v>133.43032836914099</v>
      </c>
      <c r="E41" s="2">
        <v>46295.521261574075</v>
      </c>
      <c r="F41" s="1">
        <v>4000</v>
      </c>
      <c r="G41" s="1" t="s">
        <v>0</v>
      </c>
      <c r="H41" s="1">
        <v>30.9162902832031</v>
      </c>
    </row>
    <row r="42" spans="1:8" ht="14.25" customHeight="1" x14ac:dyDescent="0.2">
      <c r="A42" s="2">
        <v>46295.521307870367</v>
      </c>
      <c r="B42" s="1">
        <v>3500</v>
      </c>
      <c r="C42" s="1" t="s">
        <v>0</v>
      </c>
      <c r="D42" s="1">
        <v>133.44421386718801</v>
      </c>
      <c r="E42" s="2">
        <v>46295.521307870367</v>
      </c>
      <c r="F42" s="1">
        <v>3500</v>
      </c>
      <c r="G42" s="1" t="s">
        <v>0</v>
      </c>
      <c r="H42" s="1">
        <v>30.9002685546875</v>
      </c>
    </row>
    <row r="43" spans="1:8" ht="14.25" customHeight="1" x14ac:dyDescent="0.2">
      <c r="A43" s="2">
        <v>46295.521354166667</v>
      </c>
      <c r="B43" s="1">
        <v>3000</v>
      </c>
      <c r="C43" s="1" t="s">
        <v>0</v>
      </c>
      <c r="D43" s="1">
        <v>133.45108032226599</v>
      </c>
      <c r="E43" s="2">
        <v>46295.521354166667</v>
      </c>
      <c r="F43" s="1">
        <v>3000</v>
      </c>
      <c r="G43" s="1" t="s">
        <v>0</v>
      </c>
      <c r="H43" s="1">
        <v>30.9349060058594</v>
      </c>
    </row>
    <row r="44" spans="1:8" ht="14.25" customHeight="1" x14ac:dyDescent="0.2">
      <c r="A44" s="2">
        <v>46295.52140046296</v>
      </c>
      <c r="B44" s="1">
        <v>2500</v>
      </c>
      <c r="C44" s="1" t="s">
        <v>0</v>
      </c>
      <c r="D44" s="1">
        <v>133.44207763671901</v>
      </c>
      <c r="E44" s="2">
        <v>46295.52140046296</v>
      </c>
      <c r="F44" s="1">
        <v>2500</v>
      </c>
      <c r="G44" s="1" t="s">
        <v>0</v>
      </c>
      <c r="H44" s="1">
        <v>30.9141540527344</v>
      </c>
    </row>
    <row r="45" spans="1:8" ht="14.25" customHeight="1" x14ac:dyDescent="0.2">
      <c r="A45" s="2">
        <v>46295.52144675926</v>
      </c>
      <c r="B45" s="1">
        <v>2000</v>
      </c>
      <c r="C45" s="1" t="s">
        <v>0</v>
      </c>
      <c r="D45" s="1">
        <v>133.441162109375</v>
      </c>
      <c r="E45" s="2">
        <v>46295.52144675926</v>
      </c>
      <c r="F45" s="1">
        <v>2000</v>
      </c>
      <c r="G45" s="1" t="s">
        <v>0</v>
      </c>
      <c r="H45" s="1">
        <v>30.9593200683594</v>
      </c>
    </row>
    <row r="46" spans="1:8" ht="14.25" customHeight="1" x14ac:dyDescent="0.2">
      <c r="A46" s="2">
        <v>46295.521493055552</v>
      </c>
      <c r="B46" s="1">
        <v>1500</v>
      </c>
      <c r="C46" s="1" t="s">
        <v>0</v>
      </c>
      <c r="D46" s="1">
        <v>133.43612670898401</v>
      </c>
      <c r="E46" s="2">
        <v>46295.521493055552</v>
      </c>
      <c r="F46" s="1">
        <v>1500</v>
      </c>
      <c r="G46" s="1" t="s">
        <v>0</v>
      </c>
      <c r="H46" s="1">
        <v>30.9745788574219</v>
      </c>
    </row>
    <row r="47" spans="1:8" ht="14.25" customHeight="1" x14ac:dyDescent="0.2">
      <c r="A47" s="2">
        <v>46295.521539351852</v>
      </c>
      <c r="B47" s="1">
        <v>1000</v>
      </c>
      <c r="C47" s="1" t="s">
        <v>0</v>
      </c>
      <c r="D47" s="1">
        <v>133.45306396484401</v>
      </c>
      <c r="E47" s="2">
        <v>46295.521539351852</v>
      </c>
      <c r="F47" s="1">
        <v>1000</v>
      </c>
      <c r="G47" s="1" t="s">
        <v>0</v>
      </c>
      <c r="H47" s="1">
        <v>30.9852600097656</v>
      </c>
    </row>
    <row r="48" spans="1:8" ht="14.25" customHeight="1" x14ac:dyDescent="0.2">
      <c r="A48" s="2">
        <v>46295.521585648145</v>
      </c>
      <c r="B48" s="1">
        <v>500</v>
      </c>
      <c r="C48" s="1" t="s">
        <v>0</v>
      </c>
      <c r="D48" s="1">
        <v>133.49395751953099</v>
      </c>
      <c r="E48" s="2">
        <v>46295.521585648145</v>
      </c>
      <c r="F48" s="1">
        <v>500</v>
      </c>
      <c r="G48" s="1" t="s">
        <v>0</v>
      </c>
      <c r="H48" s="1">
        <v>30.9683227539063</v>
      </c>
    </row>
    <row r="49" spans="1:8" ht="14.25" customHeight="1" x14ac:dyDescent="0.2">
      <c r="A49" s="2">
        <v>46295.521631944444</v>
      </c>
      <c r="B49" s="1">
        <v>0</v>
      </c>
      <c r="C49" s="1" t="s">
        <v>0</v>
      </c>
      <c r="D49" s="1">
        <v>133.46740722656301</v>
      </c>
      <c r="E49" s="2">
        <v>46295.521631944444</v>
      </c>
      <c r="F49" s="1">
        <v>0</v>
      </c>
      <c r="G49" s="1" t="s">
        <v>0</v>
      </c>
      <c r="H49" s="1">
        <v>30.9249877929688</v>
      </c>
    </row>
    <row r="50" spans="1:8" ht="14.25" customHeight="1" x14ac:dyDescent="0.2">
      <c r="A50" s="2">
        <v>46295.521678240744</v>
      </c>
      <c r="B50" s="1">
        <v>-500</v>
      </c>
      <c r="C50" s="1" t="s">
        <v>0</v>
      </c>
      <c r="D50" s="1">
        <v>133.49349975585901</v>
      </c>
      <c r="E50" s="2">
        <v>46295.521678240744</v>
      </c>
      <c r="F50" s="1">
        <v>-500</v>
      </c>
      <c r="G50" s="1" t="s">
        <v>0</v>
      </c>
      <c r="H50" s="1">
        <v>30.87158203125</v>
      </c>
    </row>
    <row r="51" spans="1:8" ht="14.25" customHeight="1" x14ac:dyDescent="0.2">
      <c r="A51" s="2">
        <v>46295.521724537037</v>
      </c>
      <c r="B51" s="1">
        <v>-1000</v>
      </c>
      <c r="C51" s="1" t="s">
        <v>0</v>
      </c>
      <c r="D51" s="1">
        <v>133.47595214843801</v>
      </c>
      <c r="E51" s="2">
        <v>46295.521724537037</v>
      </c>
      <c r="F51" s="1">
        <v>-1000</v>
      </c>
      <c r="G51" s="1" t="s">
        <v>0</v>
      </c>
      <c r="H51" s="1">
        <v>30.924072265625</v>
      </c>
    </row>
    <row r="52" spans="1:8" ht="14.25" customHeight="1" x14ac:dyDescent="0.2">
      <c r="A52" s="2">
        <v>46295.521770833337</v>
      </c>
      <c r="B52" s="1">
        <v>-1500</v>
      </c>
      <c r="C52" s="1" t="s">
        <v>0</v>
      </c>
      <c r="D52" s="1">
        <v>133.4716796875</v>
      </c>
      <c r="E52" s="2">
        <v>46295.521770833337</v>
      </c>
      <c r="F52" s="1">
        <v>-1500</v>
      </c>
      <c r="G52" s="1" t="s">
        <v>0</v>
      </c>
      <c r="H52" s="1">
        <v>30.9242248535156</v>
      </c>
    </row>
    <row r="53" spans="1:8" ht="14.25" customHeight="1" x14ac:dyDescent="0.2">
      <c r="A53" s="2">
        <v>46295.521817129629</v>
      </c>
      <c r="B53" s="1">
        <v>-2000</v>
      </c>
      <c r="C53" s="1" t="s">
        <v>0</v>
      </c>
      <c r="D53" s="1">
        <v>133.44421386718801</v>
      </c>
      <c r="E53" s="2">
        <v>46295.521817129629</v>
      </c>
      <c r="F53" s="1">
        <v>-2000</v>
      </c>
      <c r="G53" s="1" t="s">
        <v>0</v>
      </c>
      <c r="H53" s="1">
        <v>30.9359741210938</v>
      </c>
    </row>
    <row r="54" spans="1:8" ht="14.2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4.25" customHeight="1" x14ac:dyDescent="0.2">
      <c r="A55" s="2">
        <v>46295.548495370371</v>
      </c>
      <c r="B55" s="1">
        <v>-2000</v>
      </c>
      <c r="C55" s="1" t="s">
        <v>0</v>
      </c>
      <c r="D55" s="1">
        <v>134.05975341796901</v>
      </c>
      <c r="E55" s="2">
        <v>46295.548495370371</v>
      </c>
      <c r="F55" s="1">
        <v>-2000</v>
      </c>
      <c r="G55" s="1" t="s">
        <v>0</v>
      </c>
      <c r="H55" s="1">
        <v>31.7994689941406</v>
      </c>
    </row>
    <row r="56" spans="1:8" ht="14.25" customHeight="1" x14ac:dyDescent="0.2">
      <c r="A56" s="2">
        <v>46295.548541666663</v>
      </c>
      <c r="B56" s="1">
        <v>-1500</v>
      </c>
      <c r="C56" s="1" t="s">
        <v>0</v>
      </c>
      <c r="D56" s="1">
        <v>133.75671386718801</v>
      </c>
      <c r="E56" s="2">
        <v>46295.548541666663</v>
      </c>
      <c r="F56" s="1">
        <v>-1500</v>
      </c>
      <c r="G56" s="1" t="s">
        <v>0</v>
      </c>
      <c r="H56" s="1">
        <v>31.7868041992188</v>
      </c>
    </row>
    <row r="57" spans="1:8" ht="14.25" customHeight="1" x14ac:dyDescent="0.2">
      <c r="A57" s="2">
        <v>46295.548587962963</v>
      </c>
      <c r="B57" s="1">
        <v>-1000</v>
      </c>
      <c r="C57" s="1" t="s">
        <v>0</v>
      </c>
      <c r="D57" s="1">
        <v>134.06784057617199</v>
      </c>
      <c r="E57" s="2">
        <v>46295.548587962963</v>
      </c>
      <c r="F57" s="1">
        <v>-1000</v>
      </c>
      <c r="G57" s="1" t="s">
        <v>0</v>
      </c>
      <c r="H57" s="1">
        <v>31.7378234863281</v>
      </c>
    </row>
    <row r="58" spans="1:8" ht="14.25" customHeight="1" x14ac:dyDescent="0.2">
      <c r="A58" s="2">
        <v>46295.548634259256</v>
      </c>
      <c r="B58" s="1">
        <v>-500</v>
      </c>
      <c r="C58" s="1" t="s">
        <v>0</v>
      </c>
      <c r="D58" s="1">
        <v>134.10461425781301</v>
      </c>
      <c r="E58" s="2">
        <v>46295.548634259256</v>
      </c>
      <c r="F58" s="1">
        <v>-500</v>
      </c>
      <c r="G58" s="1" t="s">
        <v>0</v>
      </c>
      <c r="H58" s="1">
        <v>31.77978515625</v>
      </c>
    </row>
    <row r="59" spans="1:8" ht="14.25" customHeight="1" x14ac:dyDescent="0.2">
      <c r="A59" s="2">
        <v>46295.548680555556</v>
      </c>
      <c r="B59" s="1">
        <v>0</v>
      </c>
      <c r="C59" s="1" t="s">
        <v>0</v>
      </c>
      <c r="D59" s="1">
        <v>134.05853271484401</v>
      </c>
      <c r="E59" s="2">
        <v>46295.548680555556</v>
      </c>
      <c r="F59" s="1">
        <v>0</v>
      </c>
      <c r="G59" s="1" t="s">
        <v>0</v>
      </c>
      <c r="H59" s="1">
        <v>31.7756652832031</v>
      </c>
    </row>
    <row r="60" spans="1:8" ht="14.25" customHeight="1" x14ac:dyDescent="0.2">
      <c r="A60" s="2">
        <v>46295.548726851855</v>
      </c>
      <c r="B60" s="1">
        <v>500</v>
      </c>
      <c r="C60" s="1" t="s">
        <v>0</v>
      </c>
      <c r="D60" s="1">
        <v>134.046630859375</v>
      </c>
      <c r="E60" s="2">
        <v>46295.548726851855</v>
      </c>
      <c r="F60" s="1">
        <v>500</v>
      </c>
      <c r="G60" s="1" t="s">
        <v>0</v>
      </c>
      <c r="H60" s="1">
        <v>31.7552185058594</v>
      </c>
    </row>
    <row r="61" spans="1:8" ht="14.25" customHeight="1" x14ac:dyDescent="0.2">
      <c r="A61" s="2">
        <v>46295.548784722225</v>
      </c>
      <c r="B61" s="1">
        <v>1000</v>
      </c>
      <c r="C61" s="1" t="s">
        <v>0</v>
      </c>
      <c r="D61" s="1">
        <v>134.06723022460901</v>
      </c>
      <c r="E61" s="2">
        <v>46295.548784722225</v>
      </c>
      <c r="F61" s="1">
        <v>1000</v>
      </c>
      <c r="G61" s="1" t="s">
        <v>0</v>
      </c>
      <c r="H61" s="1">
        <v>31.744384765625</v>
      </c>
    </row>
    <row r="62" spans="1:8" ht="14.25" customHeight="1" x14ac:dyDescent="0.2">
      <c r="A62" s="2">
        <v>46295.548831018517</v>
      </c>
      <c r="B62" s="1">
        <v>1500</v>
      </c>
      <c r="C62" s="1" t="s">
        <v>0</v>
      </c>
      <c r="D62" s="1">
        <v>134.08340454101599</v>
      </c>
      <c r="E62" s="2">
        <v>46295.548831018517</v>
      </c>
      <c r="F62" s="1">
        <v>1500</v>
      </c>
      <c r="G62" s="1" t="s">
        <v>0</v>
      </c>
      <c r="H62" s="1">
        <v>31.7625427246094</v>
      </c>
    </row>
    <row r="63" spans="1:8" ht="14.25" customHeight="1" x14ac:dyDescent="0.2">
      <c r="A63" s="2">
        <v>46295.548877314817</v>
      </c>
      <c r="B63" s="1">
        <v>2000</v>
      </c>
      <c r="C63" s="1" t="s">
        <v>0</v>
      </c>
      <c r="D63" s="1">
        <v>134.10552978515599</v>
      </c>
      <c r="E63" s="2">
        <v>46295.548877314817</v>
      </c>
      <c r="F63" s="1">
        <v>2000</v>
      </c>
      <c r="G63" s="1" t="s">
        <v>0</v>
      </c>
      <c r="H63" s="1">
        <v>31.75537109375</v>
      </c>
    </row>
    <row r="64" spans="1:8" ht="14.25" customHeight="1" x14ac:dyDescent="0.2">
      <c r="A64" s="2">
        <v>46295.54892361111</v>
      </c>
      <c r="B64" s="1">
        <v>2500</v>
      </c>
      <c r="C64" s="1" t="s">
        <v>0</v>
      </c>
      <c r="D64" s="1">
        <v>134.12780761718801</v>
      </c>
      <c r="E64" s="2">
        <v>46295.54892361111</v>
      </c>
      <c r="F64" s="1">
        <v>2500</v>
      </c>
      <c r="G64" s="1" t="s">
        <v>0</v>
      </c>
      <c r="H64" s="1">
        <v>31.7439270019531</v>
      </c>
    </row>
    <row r="65" spans="1:8" ht="14.25" customHeight="1" x14ac:dyDescent="0.2">
      <c r="A65" s="2">
        <v>46295.54896990741</v>
      </c>
      <c r="B65" s="1">
        <v>3000</v>
      </c>
      <c r="C65" s="1" t="s">
        <v>0</v>
      </c>
      <c r="D65" s="1">
        <v>134.09561157226599</v>
      </c>
      <c r="E65" s="2">
        <v>46295.54896990741</v>
      </c>
      <c r="F65" s="1">
        <v>3000</v>
      </c>
      <c r="G65" s="1" t="s">
        <v>0</v>
      </c>
      <c r="H65" s="1">
        <v>31.7282104492188</v>
      </c>
    </row>
    <row r="66" spans="1:8" ht="14.25" customHeight="1" x14ac:dyDescent="0.2">
      <c r="A66" s="2">
        <v>46295.549016203702</v>
      </c>
      <c r="B66" s="1">
        <v>3500</v>
      </c>
      <c r="C66" s="1" t="s">
        <v>0</v>
      </c>
      <c r="D66" s="1">
        <v>134.13421630859401</v>
      </c>
      <c r="E66" s="2">
        <v>46295.549016203702</v>
      </c>
      <c r="F66" s="1">
        <v>3500</v>
      </c>
      <c r="G66" s="1" t="s">
        <v>0</v>
      </c>
      <c r="H66" s="1">
        <v>31.7181396484375</v>
      </c>
    </row>
    <row r="67" spans="1:8" ht="14.25" customHeight="1" x14ac:dyDescent="0.2">
      <c r="A67" s="2">
        <v>46295.549062500002</v>
      </c>
      <c r="B67" s="1">
        <v>4000</v>
      </c>
      <c r="C67" s="1" t="s">
        <v>0</v>
      </c>
      <c r="D67" s="1">
        <v>132.92297363281301</v>
      </c>
      <c r="E67" s="2">
        <v>46295.549062500002</v>
      </c>
      <c r="F67" s="1">
        <v>4000</v>
      </c>
      <c r="G67" s="1" t="s">
        <v>0</v>
      </c>
      <c r="H67" s="1">
        <v>31.712646484375</v>
      </c>
    </row>
    <row r="68" spans="1:8" ht="14.25" customHeight="1" x14ac:dyDescent="0.2">
      <c r="A68" s="2">
        <v>46295.549108796295</v>
      </c>
      <c r="B68" s="1">
        <v>4500</v>
      </c>
      <c r="C68" s="1" t="s">
        <v>0</v>
      </c>
      <c r="D68" s="1">
        <v>134.18426513671901</v>
      </c>
      <c r="E68" s="2">
        <v>46295.549108796295</v>
      </c>
      <c r="F68" s="1">
        <v>4500</v>
      </c>
      <c r="G68" s="1" t="s">
        <v>0</v>
      </c>
      <c r="H68" s="1">
        <v>31.7108154296875</v>
      </c>
    </row>
    <row r="69" spans="1:8" ht="14.25" customHeight="1" x14ac:dyDescent="0.2">
      <c r="A69" s="2">
        <v>46295.549155092594</v>
      </c>
      <c r="B69" s="1">
        <v>5000</v>
      </c>
      <c r="C69" s="1" t="s">
        <v>0</v>
      </c>
      <c r="D69" s="1">
        <v>134.09408569335901</v>
      </c>
      <c r="E69" s="2">
        <v>46295.549155092594</v>
      </c>
      <c r="F69" s="1">
        <v>5000</v>
      </c>
      <c r="G69" s="1" t="s">
        <v>0</v>
      </c>
      <c r="H69" s="1">
        <v>31.7036437988281</v>
      </c>
    </row>
    <row r="70" spans="1:8" ht="14.25" customHeight="1" x14ac:dyDescent="0.2">
      <c r="A70" s="2">
        <v>46295.549201388887</v>
      </c>
      <c r="B70" s="1">
        <v>5500</v>
      </c>
      <c r="C70" s="1" t="s">
        <v>0</v>
      </c>
      <c r="D70" s="1">
        <v>134.10614013671901</v>
      </c>
      <c r="E70" s="2">
        <v>46295.549201388887</v>
      </c>
      <c r="F70" s="1">
        <v>5500</v>
      </c>
      <c r="G70" s="1" t="s">
        <v>0</v>
      </c>
      <c r="H70" s="1">
        <v>31.6993713378906</v>
      </c>
    </row>
    <row r="71" spans="1:8" ht="14.25" customHeight="1" x14ac:dyDescent="0.2">
      <c r="A71" s="2">
        <v>46295.549247685187</v>
      </c>
      <c r="B71" s="1">
        <v>6000</v>
      </c>
      <c r="C71" s="1" t="s">
        <v>0</v>
      </c>
      <c r="D71" s="1">
        <v>134.12948608398401</v>
      </c>
      <c r="E71" s="2">
        <v>46295.549247685187</v>
      </c>
      <c r="F71" s="1">
        <v>6000</v>
      </c>
      <c r="G71" s="1" t="s">
        <v>0</v>
      </c>
      <c r="H71" s="1">
        <v>31.6781616210938</v>
      </c>
    </row>
    <row r="72" spans="1:8" ht="14.25" customHeight="1" x14ac:dyDescent="0.2">
      <c r="A72" s="2">
        <v>46295.549293981479</v>
      </c>
      <c r="B72" s="1">
        <v>6500</v>
      </c>
      <c r="C72" s="1" t="s">
        <v>0</v>
      </c>
      <c r="D72" s="1">
        <v>134.15115356445301</v>
      </c>
      <c r="E72" s="2">
        <v>46295.549293981479</v>
      </c>
      <c r="F72" s="1">
        <v>6500</v>
      </c>
      <c r="G72" s="1" t="s">
        <v>0</v>
      </c>
      <c r="H72" s="1">
        <v>31.6970825195313</v>
      </c>
    </row>
    <row r="73" spans="1:8" ht="14.25" customHeight="1" x14ac:dyDescent="0.2">
      <c r="A73" s="2">
        <v>46295.549340277779</v>
      </c>
      <c r="B73" s="1">
        <v>7000</v>
      </c>
      <c r="C73" s="1" t="s">
        <v>0</v>
      </c>
      <c r="D73" s="1">
        <v>134.12872314453099</v>
      </c>
      <c r="E73" s="2">
        <v>46295.549340277779</v>
      </c>
      <c r="F73" s="1">
        <v>7000</v>
      </c>
      <c r="G73" s="1" t="s">
        <v>0</v>
      </c>
      <c r="H73" s="1">
        <v>31.6157531738281</v>
      </c>
    </row>
    <row r="74" spans="1:8" ht="14.25" customHeight="1" x14ac:dyDescent="0.2">
      <c r="A74" s="2">
        <v>46295.549386574072</v>
      </c>
      <c r="B74" s="1">
        <v>7500</v>
      </c>
      <c r="C74" s="1" t="s">
        <v>0</v>
      </c>
      <c r="D74" s="1">
        <v>134.12689208984401</v>
      </c>
      <c r="E74" s="2">
        <v>46295.549386574072</v>
      </c>
      <c r="F74" s="1">
        <v>7500</v>
      </c>
      <c r="G74" s="1" t="s">
        <v>0</v>
      </c>
      <c r="H74" s="1">
        <v>31.6813659667969</v>
      </c>
    </row>
    <row r="75" spans="1:8" ht="14.25" customHeight="1" x14ac:dyDescent="0.2">
      <c r="A75" s="2">
        <v>46295.549432870372</v>
      </c>
      <c r="B75" s="1">
        <v>8000</v>
      </c>
      <c r="C75" s="1" t="s">
        <v>0</v>
      </c>
      <c r="D75" s="1">
        <v>134.13024902343801</v>
      </c>
      <c r="E75" s="2">
        <v>46295.549432870372</v>
      </c>
      <c r="F75" s="1">
        <v>8000</v>
      </c>
      <c r="G75" s="1" t="s">
        <v>0</v>
      </c>
      <c r="H75" s="1">
        <v>31.6667175292969</v>
      </c>
    </row>
    <row r="76" spans="1:8" ht="14.25" customHeight="1" x14ac:dyDescent="0.2">
      <c r="A76" s="2">
        <v>46295.549479166664</v>
      </c>
      <c r="B76" s="1">
        <v>8500</v>
      </c>
      <c r="C76" s="1" t="s">
        <v>0</v>
      </c>
      <c r="D76" s="1">
        <v>134.17388916015599</v>
      </c>
      <c r="E76" s="2">
        <v>46295.549479166664</v>
      </c>
      <c r="F76" s="1">
        <v>8500</v>
      </c>
      <c r="G76" s="1" t="s">
        <v>0</v>
      </c>
      <c r="H76" s="1">
        <v>31.6694641113281</v>
      </c>
    </row>
    <row r="77" spans="1:8" ht="14.25" customHeight="1" x14ac:dyDescent="0.2">
      <c r="A77" s="2">
        <v>46295.549525462964</v>
      </c>
      <c r="B77" s="1">
        <v>9000</v>
      </c>
      <c r="C77" s="1" t="s">
        <v>0</v>
      </c>
      <c r="D77" s="1">
        <v>134.14840698242199</v>
      </c>
      <c r="E77" s="2">
        <v>46295.549525462964</v>
      </c>
      <c r="F77" s="1">
        <v>9000</v>
      </c>
      <c r="G77" s="1" t="s">
        <v>0</v>
      </c>
      <c r="H77" s="1">
        <v>31.6716003417969</v>
      </c>
    </row>
    <row r="78" spans="1:8" ht="14.25" customHeight="1" x14ac:dyDescent="0.2">
      <c r="A78" s="2">
        <v>46295.549571759257</v>
      </c>
      <c r="B78" s="1">
        <v>9500</v>
      </c>
      <c r="C78" s="1" t="s">
        <v>0</v>
      </c>
      <c r="D78" s="1">
        <v>133.83041381835901</v>
      </c>
      <c r="E78" s="2">
        <v>46295.549571759257</v>
      </c>
      <c r="F78" s="1">
        <v>9500</v>
      </c>
      <c r="G78" s="1" t="s">
        <v>0</v>
      </c>
      <c r="H78" s="1">
        <v>31.663818359375</v>
      </c>
    </row>
    <row r="79" spans="1:8" ht="14.25" customHeight="1" x14ac:dyDescent="0.2">
      <c r="A79" s="2">
        <v>46295.549618055556</v>
      </c>
      <c r="B79" s="1">
        <v>10000</v>
      </c>
      <c r="C79" s="1" t="s">
        <v>0</v>
      </c>
      <c r="D79" s="1">
        <v>134.16229248046901</v>
      </c>
      <c r="E79" s="2">
        <v>46295.549618055556</v>
      </c>
      <c r="F79" s="1">
        <v>10000</v>
      </c>
      <c r="G79" s="1" t="s">
        <v>0</v>
      </c>
      <c r="H79" s="1">
        <v>31.5975952148438</v>
      </c>
    </row>
    <row r="80" spans="1:8" ht="14.2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4.25" customHeight="1" x14ac:dyDescent="0.2">
      <c r="A81" s="2">
        <v>46295.555127314816</v>
      </c>
      <c r="B81" s="1">
        <v>-2000</v>
      </c>
      <c r="C81" s="1" t="s">
        <v>0</v>
      </c>
      <c r="D81" s="1">
        <v>134.59762573242199</v>
      </c>
      <c r="E81" s="2">
        <v>46295.555127314816</v>
      </c>
      <c r="F81" s="1">
        <v>-2000</v>
      </c>
      <c r="G81" s="1" t="s">
        <v>0</v>
      </c>
      <c r="H81" s="1">
        <v>31.7881774902344</v>
      </c>
    </row>
    <row r="82" spans="1:8" ht="14.25" customHeight="1" x14ac:dyDescent="0.2">
      <c r="A82" s="2">
        <v>46295.555173611108</v>
      </c>
      <c r="B82" s="1">
        <v>-1500</v>
      </c>
      <c r="C82" s="1" t="s">
        <v>0</v>
      </c>
      <c r="D82" s="1">
        <v>134.576416015625</v>
      </c>
      <c r="E82" s="2">
        <v>46295.555173611108</v>
      </c>
      <c r="F82" s="1">
        <v>-1500</v>
      </c>
      <c r="G82" s="1" t="s">
        <v>0</v>
      </c>
      <c r="H82" s="1">
        <v>31.8046569824219</v>
      </c>
    </row>
    <row r="83" spans="1:8" ht="14.25" customHeight="1" x14ac:dyDescent="0.2">
      <c r="A83" s="2">
        <v>46295.555219907408</v>
      </c>
      <c r="B83" s="1">
        <v>-1000</v>
      </c>
      <c r="C83" s="1" t="s">
        <v>0</v>
      </c>
      <c r="D83" s="1">
        <v>134.61471557617199</v>
      </c>
      <c r="E83" s="2">
        <v>46295.555219907408</v>
      </c>
      <c r="F83" s="1">
        <v>-1000</v>
      </c>
      <c r="G83" s="1" t="s">
        <v>0</v>
      </c>
      <c r="H83" s="1">
        <v>31.7904663085938</v>
      </c>
    </row>
    <row r="84" spans="1:8" ht="14.25" customHeight="1" x14ac:dyDescent="0.2">
      <c r="A84" s="2">
        <v>46295.555266203701</v>
      </c>
      <c r="B84" s="1">
        <v>-500</v>
      </c>
      <c r="C84" s="1" t="s">
        <v>0</v>
      </c>
      <c r="D84" s="1">
        <v>134.61029052734401</v>
      </c>
      <c r="E84" s="2">
        <v>46295.555266203701</v>
      </c>
      <c r="F84" s="1">
        <v>-500</v>
      </c>
      <c r="G84" s="1" t="s">
        <v>0</v>
      </c>
      <c r="H84" s="1">
        <v>31.7781066894531</v>
      </c>
    </row>
    <row r="85" spans="1:8" ht="14.25" customHeight="1" x14ac:dyDescent="0.2">
      <c r="A85" s="2">
        <v>46295.555312500001</v>
      </c>
      <c r="B85" s="1">
        <v>0</v>
      </c>
      <c r="C85" s="1" t="s">
        <v>0</v>
      </c>
      <c r="D85" s="1">
        <v>134.61975097656301</v>
      </c>
      <c r="E85" s="2">
        <v>46295.555312500001</v>
      </c>
      <c r="F85" s="1">
        <v>0</v>
      </c>
      <c r="G85" s="1" t="s">
        <v>0</v>
      </c>
      <c r="H85" s="1">
        <v>31.805419921875</v>
      </c>
    </row>
    <row r="86" spans="1:8" ht="14.25" customHeight="1" x14ac:dyDescent="0.2">
      <c r="A86" s="2">
        <v>46295.555358796293</v>
      </c>
      <c r="B86" s="1">
        <v>500</v>
      </c>
      <c r="C86" s="1" t="s">
        <v>0</v>
      </c>
      <c r="D86" s="1">
        <v>134.63394165039099</v>
      </c>
      <c r="E86" s="2">
        <v>46295.555358796293</v>
      </c>
      <c r="F86" s="1">
        <v>500</v>
      </c>
      <c r="G86" s="1" t="s">
        <v>0</v>
      </c>
      <c r="H86" s="1">
        <v>31.834716796875</v>
      </c>
    </row>
    <row r="87" spans="1:8" ht="14.25" customHeight="1" x14ac:dyDescent="0.2">
      <c r="A87" s="2">
        <v>46295.555405092593</v>
      </c>
      <c r="B87" s="1">
        <v>1000</v>
      </c>
      <c r="C87" s="1" t="s">
        <v>0</v>
      </c>
      <c r="D87" s="1">
        <v>134.62814331054699</v>
      </c>
      <c r="E87" s="2">
        <v>46295.555405092593</v>
      </c>
      <c r="F87" s="1">
        <v>1000</v>
      </c>
      <c r="G87" s="1" t="s">
        <v>0</v>
      </c>
      <c r="H87" s="1">
        <v>31.826171875</v>
      </c>
    </row>
    <row r="88" spans="1:8" ht="14.25" customHeight="1" x14ac:dyDescent="0.2">
      <c r="A88" s="2">
        <v>46295.555451388886</v>
      </c>
      <c r="B88" s="1">
        <v>1500</v>
      </c>
      <c r="C88" s="1" t="s">
        <v>0</v>
      </c>
      <c r="D88" s="1">
        <v>134.625244140625</v>
      </c>
      <c r="E88" s="2">
        <v>46295.555451388886</v>
      </c>
      <c r="F88" s="1">
        <v>1500</v>
      </c>
      <c r="G88" s="1" t="s">
        <v>0</v>
      </c>
      <c r="H88" s="1">
        <v>31.8356323242188</v>
      </c>
    </row>
    <row r="89" spans="1:8" ht="14.25" customHeight="1" x14ac:dyDescent="0.2">
      <c r="A89" s="2">
        <v>46295.555497685185</v>
      </c>
      <c r="B89" s="1">
        <v>2000</v>
      </c>
      <c r="C89" s="1" t="s">
        <v>0</v>
      </c>
      <c r="D89" s="1">
        <v>134.63882446289099</v>
      </c>
      <c r="E89" s="2">
        <v>46295.555497685185</v>
      </c>
      <c r="F89" s="1">
        <v>2000</v>
      </c>
      <c r="G89" s="1" t="s">
        <v>0</v>
      </c>
      <c r="H89" s="1">
        <v>31.8504333496094</v>
      </c>
    </row>
    <row r="90" spans="1:8" ht="14.25" customHeight="1" x14ac:dyDescent="0.2">
      <c r="A90" s="2">
        <v>46295.555543981478</v>
      </c>
      <c r="B90" s="1">
        <v>2500</v>
      </c>
      <c r="C90" s="1" t="s">
        <v>0</v>
      </c>
      <c r="D90" s="1">
        <v>134.64248657226599</v>
      </c>
      <c r="E90" s="2">
        <v>46295.555543981478</v>
      </c>
      <c r="F90" s="1">
        <v>2500</v>
      </c>
      <c r="G90" s="1" t="s">
        <v>0</v>
      </c>
      <c r="H90" s="1">
        <v>31.8238830566406</v>
      </c>
    </row>
    <row r="91" spans="1:8" ht="14.25" customHeight="1" x14ac:dyDescent="0.2">
      <c r="A91" s="2">
        <v>46295.555590277778</v>
      </c>
      <c r="B91" s="1">
        <v>3000</v>
      </c>
      <c r="C91" s="1" t="s">
        <v>0</v>
      </c>
      <c r="D91" s="1">
        <v>134.64187622070301</v>
      </c>
      <c r="E91" s="2">
        <v>46295.555590277778</v>
      </c>
      <c r="F91" s="1">
        <v>3000</v>
      </c>
      <c r="G91" s="1" t="s">
        <v>0</v>
      </c>
      <c r="H91" s="1">
        <v>31.8121337890625</v>
      </c>
    </row>
    <row r="92" spans="1:8" ht="14.25" customHeight="1" x14ac:dyDescent="0.2">
      <c r="A92" s="2">
        <v>46295.555636574078</v>
      </c>
      <c r="B92" s="1">
        <v>3500</v>
      </c>
      <c r="C92" s="1" t="s">
        <v>0</v>
      </c>
      <c r="D92" s="1">
        <v>134.61410522460901</v>
      </c>
      <c r="E92" s="2">
        <v>46295.555636574078</v>
      </c>
      <c r="F92" s="1">
        <v>3500</v>
      </c>
      <c r="G92" s="1" t="s">
        <v>0</v>
      </c>
      <c r="H92" s="1">
        <v>31.8107604980469</v>
      </c>
    </row>
    <row r="93" spans="1:8" ht="14.25" customHeight="1" x14ac:dyDescent="0.2">
      <c r="A93" s="2">
        <v>46295.55568287037</v>
      </c>
      <c r="B93" s="1">
        <v>4000</v>
      </c>
      <c r="C93" s="1" t="s">
        <v>0</v>
      </c>
      <c r="D93" s="1">
        <v>134.64981079101599</v>
      </c>
      <c r="E93" s="2">
        <v>46295.55568287037</v>
      </c>
      <c r="F93" s="1">
        <v>4000</v>
      </c>
      <c r="G93" s="1" t="s">
        <v>0</v>
      </c>
      <c r="H93" s="1">
        <v>31.7970275878906</v>
      </c>
    </row>
    <row r="94" spans="1:8" ht="14.25" customHeight="1" x14ac:dyDescent="0.2">
      <c r="A94" s="2">
        <v>46295.55572916667</v>
      </c>
      <c r="B94" s="1">
        <v>4500</v>
      </c>
      <c r="C94" s="1" t="s">
        <v>0</v>
      </c>
      <c r="D94" s="1">
        <v>134.688720703125</v>
      </c>
      <c r="E94" s="2">
        <v>46295.55572916667</v>
      </c>
      <c r="F94" s="1">
        <v>4500</v>
      </c>
      <c r="G94" s="1" t="s">
        <v>0</v>
      </c>
      <c r="H94" s="1">
        <v>31.8241882324219</v>
      </c>
    </row>
    <row r="95" spans="1:8" ht="14.25" customHeight="1" x14ac:dyDescent="0.2">
      <c r="A95" s="2">
        <v>46295.555775462963</v>
      </c>
      <c r="B95" s="1">
        <v>5000</v>
      </c>
      <c r="C95" s="1" t="s">
        <v>0</v>
      </c>
      <c r="D95" s="1">
        <v>134.65087890625</v>
      </c>
      <c r="E95" s="2">
        <v>46295.555775462963</v>
      </c>
      <c r="F95" s="1">
        <v>5000</v>
      </c>
      <c r="G95" s="1" t="s">
        <v>0</v>
      </c>
      <c r="H95" s="1">
        <v>31.7910766601563</v>
      </c>
    </row>
    <row r="96" spans="1:8" ht="14.25" customHeight="1" x14ac:dyDescent="0.2">
      <c r="A96" s="2">
        <v>46295.555821759262</v>
      </c>
      <c r="B96" s="1">
        <v>5500</v>
      </c>
      <c r="C96" s="1" t="s">
        <v>0</v>
      </c>
      <c r="D96" s="1">
        <v>134.67514038085901</v>
      </c>
      <c r="E96" s="2">
        <v>46295.555821759262</v>
      </c>
      <c r="F96" s="1">
        <v>5500</v>
      </c>
      <c r="G96" s="1" t="s">
        <v>0</v>
      </c>
      <c r="H96" s="1">
        <v>31.7970275878906</v>
      </c>
    </row>
    <row r="97" spans="1:8" ht="14.25" customHeight="1" x14ac:dyDescent="0.2">
      <c r="A97" s="2">
        <v>46295.555868055555</v>
      </c>
      <c r="B97" s="1">
        <v>6000</v>
      </c>
      <c r="C97" s="1" t="s">
        <v>0</v>
      </c>
      <c r="D97" s="1">
        <v>134.66751098632801</v>
      </c>
      <c r="E97" s="2">
        <v>46295.555868055555</v>
      </c>
      <c r="F97" s="1">
        <v>6000</v>
      </c>
      <c r="G97" s="1" t="s">
        <v>0</v>
      </c>
      <c r="H97" s="1">
        <v>31.7916870117188</v>
      </c>
    </row>
    <row r="98" spans="1:8" ht="14.25" customHeight="1" x14ac:dyDescent="0.2">
      <c r="A98" s="2">
        <v>46295.555914351855</v>
      </c>
      <c r="B98" s="1">
        <v>6500</v>
      </c>
      <c r="C98" s="1" t="s">
        <v>0</v>
      </c>
      <c r="D98" s="1">
        <v>134.65194702148401</v>
      </c>
      <c r="E98" s="2">
        <v>46295.555914351855</v>
      </c>
      <c r="F98" s="1">
        <v>6500</v>
      </c>
      <c r="G98" s="1" t="s">
        <v>0</v>
      </c>
      <c r="H98" s="1">
        <v>31.7060852050781</v>
      </c>
    </row>
    <row r="99" spans="1:8" ht="14.25" customHeight="1" x14ac:dyDescent="0.2">
      <c r="A99" s="2">
        <v>46295.555960648147</v>
      </c>
      <c r="B99" s="1">
        <v>7000</v>
      </c>
      <c r="C99" s="1" t="s">
        <v>0</v>
      </c>
      <c r="D99" s="1">
        <v>134.66751098632801</v>
      </c>
      <c r="E99" s="2">
        <v>46295.555960648147</v>
      </c>
      <c r="F99" s="1">
        <v>7000</v>
      </c>
      <c r="G99" s="1" t="s">
        <v>0</v>
      </c>
      <c r="H99" s="1">
        <v>31.7411804199219</v>
      </c>
    </row>
    <row r="100" spans="1:8" ht="14.25" customHeight="1" x14ac:dyDescent="0.2">
      <c r="A100" s="2">
        <v>46295.556006944447</v>
      </c>
      <c r="B100" s="1">
        <v>7500</v>
      </c>
      <c r="C100" s="1" t="s">
        <v>0</v>
      </c>
      <c r="D100" s="1">
        <v>134.65881347656301</v>
      </c>
      <c r="E100" s="2">
        <v>46295.556006944447</v>
      </c>
      <c r="F100" s="1">
        <v>7500</v>
      </c>
      <c r="G100" s="1" t="s">
        <v>0</v>
      </c>
      <c r="H100" s="1">
        <v>31.7460632324219</v>
      </c>
    </row>
    <row r="101" spans="1:8" ht="14.25" customHeight="1" x14ac:dyDescent="0.2">
      <c r="A101" s="2">
        <v>46295.55605324074</v>
      </c>
      <c r="B101" s="1">
        <v>8000</v>
      </c>
      <c r="C101" s="1" t="s">
        <v>0</v>
      </c>
      <c r="D101" s="1">
        <v>134.66644287109401</v>
      </c>
      <c r="E101" s="2">
        <v>46295.55605324074</v>
      </c>
      <c r="F101" s="1">
        <v>8000</v>
      </c>
      <c r="G101" s="1" t="s">
        <v>0</v>
      </c>
      <c r="H101" s="1">
        <v>31.7433166503906</v>
      </c>
    </row>
    <row r="102" spans="1:8" ht="14.25" customHeight="1" x14ac:dyDescent="0.2">
      <c r="A102" s="2">
        <v>46295.55609953704</v>
      </c>
      <c r="B102" s="1">
        <v>8500</v>
      </c>
      <c r="C102" s="1" t="s">
        <v>0</v>
      </c>
      <c r="D102" s="1">
        <v>134.70474243164099</v>
      </c>
      <c r="E102" s="2">
        <v>46295.55609953704</v>
      </c>
      <c r="F102" s="1">
        <v>8500</v>
      </c>
      <c r="G102" s="1" t="s">
        <v>0</v>
      </c>
      <c r="H102" s="1">
        <v>31.7376708984375</v>
      </c>
    </row>
    <row r="103" spans="1:8" ht="14.25" customHeight="1" x14ac:dyDescent="0.2">
      <c r="A103" s="2">
        <v>46295.556145833332</v>
      </c>
      <c r="B103" s="1">
        <v>9000</v>
      </c>
      <c r="C103" s="1" t="s">
        <v>0</v>
      </c>
      <c r="D103" s="1">
        <v>134.72595214843801</v>
      </c>
      <c r="E103" s="2">
        <v>46295.556145833332</v>
      </c>
      <c r="F103" s="1">
        <v>9000</v>
      </c>
      <c r="G103" s="1" t="s">
        <v>0</v>
      </c>
      <c r="H103" s="1">
        <v>31.7424011230469</v>
      </c>
    </row>
    <row r="104" spans="1:8" ht="14.25" customHeight="1" x14ac:dyDescent="0.2">
      <c r="A104" s="2">
        <v>46295.556203703702</v>
      </c>
      <c r="B104" s="1">
        <v>9500</v>
      </c>
      <c r="C104" s="1" t="s">
        <v>0</v>
      </c>
      <c r="D104" s="1">
        <v>134.72961425781301</v>
      </c>
      <c r="E104" s="2">
        <v>46295.556203703702</v>
      </c>
      <c r="F104" s="1">
        <v>9500</v>
      </c>
      <c r="G104" s="1" t="s">
        <v>0</v>
      </c>
      <c r="H104" s="1">
        <v>31.728515625</v>
      </c>
    </row>
    <row r="105" spans="1:8" ht="14.25" customHeight="1" x14ac:dyDescent="0.2">
      <c r="A105" s="2">
        <v>46295.556250000001</v>
      </c>
      <c r="B105" s="1">
        <v>10000</v>
      </c>
      <c r="C105" s="1" t="s">
        <v>0</v>
      </c>
      <c r="D105" s="1">
        <v>134.73846435546901</v>
      </c>
      <c r="E105" s="2">
        <v>46295.556250000001</v>
      </c>
      <c r="F105" s="1">
        <v>10000</v>
      </c>
      <c r="G105" s="1" t="s">
        <v>0</v>
      </c>
      <c r="H105" s="1">
        <v>31.7335510253906</v>
      </c>
    </row>
    <row r="106" spans="1:8" ht="14.2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4.25" customHeight="1" x14ac:dyDescent="0.2">
      <c r="A107" s="2">
        <v>46295.557858796295</v>
      </c>
      <c r="B107" s="1">
        <v>-2000</v>
      </c>
      <c r="C107" s="1" t="s">
        <v>0</v>
      </c>
      <c r="D107" s="1">
        <v>134.86968994140599</v>
      </c>
      <c r="E107" s="2">
        <v>46295.557858796295</v>
      </c>
      <c r="F107" s="1">
        <v>-2000</v>
      </c>
      <c r="G107" s="1" t="s">
        <v>0</v>
      </c>
      <c r="H107" s="1">
        <v>31.8132019042969</v>
      </c>
    </row>
    <row r="108" spans="1:8" ht="14.25" customHeight="1" x14ac:dyDescent="0.2">
      <c r="A108" s="2">
        <v>46295.557905092595</v>
      </c>
      <c r="B108" s="1">
        <v>-1500</v>
      </c>
      <c r="C108" s="1" t="s">
        <v>0</v>
      </c>
      <c r="D108" s="1">
        <v>134.65011596679699</v>
      </c>
      <c r="E108" s="2">
        <v>46295.557905092595</v>
      </c>
      <c r="F108" s="1">
        <v>-1500</v>
      </c>
      <c r="G108" s="1" t="s">
        <v>0</v>
      </c>
      <c r="H108" s="1">
        <v>31.8321228027344</v>
      </c>
    </row>
    <row r="109" spans="1:8" ht="14.25" customHeight="1" x14ac:dyDescent="0.2">
      <c r="A109" s="2">
        <v>46295.557951388888</v>
      </c>
      <c r="B109" s="1">
        <v>-1000</v>
      </c>
      <c r="C109" s="1" t="s">
        <v>0</v>
      </c>
      <c r="D109" s="1">
        <v>134.87350463867199</v>
      </c>
      <c r="E109" s="2">
        <v>46295.557951388888</v>
      </c>
      <c r="F109" s="1">
        <v>-1000</v>
      </c>
      <c r="G109" s="1" t="s">
        <v>0</v>
      </c>
      <c r="H109" s="1">
        <v>31.8290710449219</v>
      </c>
    </row>
    <row r="110" spans="1:8" ht="14.25" customHeight="1" x14ac:dyDescent="0.2">
      <c r="A110" s="2">
        <v>46295.557997685188</v>
      </c>
      <c r="B110" s="1">
        <v>-500</v>
      </c>
      <c r="C110" s="1" t="s">
        <v>0</v>
      </c>
      <c r="D110" s="1">
        <v>134.86953735351599</v>
      </c>
      <c r="E110" s="2">
        <v>46295.557997685188</v>
      </c>
      <c r="F110" s="1">
        <v>-500</v>
      </c>
      <c r="G110" s="1" t="s">
        <v>0</v>
      </c>
      <c r="H110" s="1">
        <v>31.8354797363281</v>
      </c>
    </row>
    <row r="111" spans="1:8" ht="14.25" customHeight="1" x14ac:dyDescent="0.2">
      <c r="A111" s="2">
        <v>46295.55804398148</v>
      </c>
      <c r="B111" s="1">
        <v>0</v>
      </c>
      <c r="C111" s="1" t="s">
        <v>0</v>
      </c>
      <c r="D111" s="1">
        <v>134.88464355468801</v>
      </c>
      <c r="E111" s="2">
        <v>46295.55804398148</v>
      </c>
      <c r="F111" s="1">
        <v>0</v>
      </c>
      <c r="G111" s="1" t="s">
        <v>0</v>
      </c>
      <c r="H111" s="1">
        <v>31.8307495117188</v>
      </c>
    </row>
    <row r="112" spans="1:8" ht="14.25" customHeight="1" x14ac:dyDescent="0.2">
      <c r="A112" s="2">
        <v>46295.55809027778</v>
      </c>
      <c r="B112" s="1">
        <v>500</v>
      </c>
      <c r="C112" s="1" t="s">
        <v>0</v>
      </c>
      <c r="D112" s="1">
        <v>134.88327026367199</v>
      </c>
      <c r="E112" s="2">
        <v>46295.55809027778</v>
      </c>
      <c r="F112" s="1">
        <v>500</v>
      </c>
      <c r="G112" s="1" t="s">
        <v>0</v>
      </c>
      <c r="H112" s="1">
        <v>31.8063354492188</v>
      </c>
    </row>
    <row r="113" spans="1:8" ht="14.25" customHeight="1" x14ac:dyDescent="0.2">
      <c r="A113" s="2">
        <v>46295.558136574073</v>
      </c>
      <c r="B113" s="1">
        <v>1000</v>
      </c>
      <c r="C113" s="1" t="s">
        <v>0</v>
      </c>
      <c r="D113" s="1">
        <v>134.87976074218801</v>
      </c>
      <c r="E113" s="2">
        <v>46295.558136574073</v>
      </c>
      <c r="F113" s="1">
        <v>1000</v>
      </c>
      <c r="G113" s="1" t="s">
        <v>0</v>
      </c>
      <c r="H113" s="1">
        <v>31.6361999511719</v>
      </c>
    </row>
    <row r="114" spans="1:8" ht="14.25" customHeight="1" x14ac:dyDescent="0.2">
      <c r="A114" s="2">
        <v>46295.558182870373</v>
      </c>
      <c r="B114" s="1">
        <v>1500</v>
      </c>
      <c r="C114" s="1" t="s">
        <v>0</v>
      </c>
      <c r="D114" s="1">
        <v>134.85626220703099</v>
      </c>
      <c r="E114" s="2">
        <v>46295.558182870373</v>
      </c>
      <c r="F114" s="1">
        <v>1500</v>
      </c>
      <c r="G114" s="1" t="s">
        <v>0</v>
      </c>
      <c r="H114" s="1">
        <v>31.7399597167969</v>
      </c>
    </row>
    <row r="115" spans="1:8" ht="14.25" customHeight="1" x14ac:dyDescent="0.2">
      <c r="A115" s="2">
        <v>46295.558229166665</v>
      </c>
      <c r="B115" s="1">
        <v>2000</v>
      </c>
      <c r="C115" s="1" t="s">
        <v>0</v>
      </c>
      <c r="D115" s="1">
        <v>134.84436035156301</v>
      </c>
      <c r="E115" s="2">
        <v>46295.558229166665</v>
      </c>
      <c r="F115" s="1">
        <v>2000</v>
      </c>
      <c r="G115" s="1" t="s">
        <v>0</v>
      </c>
      <c r="H115" s="1">
        <v>31.7987060546875</v>
      </c>
    </row>
    <row r="116" spans="1:8" ht="14.25" customHeight="1" x14ac:dyDescent="0.2">
      <c r="A116" s="2">
        <v>46295.558275462965</v>
      </c>
      <c r="B116" s="1">
        <v>2500</v>
      </c>
      <c r="C116" s="1" t="s">
        <v>0</v>
      </c>
      <c r="D116" s="1">
        <v>134.87045288085901</v>
      </c>
      <c r="E116" s="2">
        <v>46295.558275462965</v>
      </c>
      <c r="F116" s="1">
        <v>2500</v>
      </c>
      <c r="G116" s="1" t="s">
        <v>0</v>
      </c>
      <c r="H116" s="1">
        <v>31.7732238769531</v>
      </c>
    </row>
    <row r="117" spans="1:8" ht="14.25" customHeight="1" x14ac:dyDescent="0.2">
      <c r="A117" s="2">
        <v>46295.558321759258</v>
      </c>
      <c r="B117" s="1">
        <v>3000</v>
      </c>
      <c r="C117" s="1" t="s">
        <v>0</v>
      </c>
      <c r="D117" s="1">
        <v>134.82574462890599</v>
      </c>
      <c r="E117" s="2">
        <v>46295.558321759258</v>
      </c>
      <c r="F117" s="1">
        <v>3000</v>
      </c>
      <c r="G117" s="1" t="s">
        <v>0</v>
      </c>
      <c r="H117" s="1">
        <v>31.776123046875</v>
      </c>
    </row>
    <row r="118" spans="1:8" ht="14.25" customHeight="1" x14ac:dyDescent="0.2">
      <c r="A118" s="2">
        <v>46295.558368055557</v>
      </c>
      <c r="B118" s="1">
        <v>3500</v>
      </c>
      <c r="C118" s="1" t="s">
        <v>0</v>
      </c>
      <c r="D118" s="1">
        <v>134.90814208984401</v>
      </c>
      <c r="E118" s="2">
        <v>46295.558368055557</v>
      </c>
      <c r="F118" s="1">
        <v>3500</v>
      </c>
      <c r="G118" s="1" t="s">
        <v>0</v>
      </c>
      <c r="H118" s="1">
        <v>31.7718505859375</v>
      </c>
    </row>
    <row r="119" spans="1:8" ht="14.25" customHeight="1" x14ac:dyDescent="0.2">
      <c r="A119" s="2">
        <v>46295.55841435185</v>
      </c>
      <c r="B119" s="1">
        <v>4000</v>
      </c>
      <c r="C119" s="1" t="s">
        <v>0</v>
      </c>
      <c r="D119" s="1">
        <v>134.86877441406301</v>
      </c>
      <c r="E119" s="2">
        <v>46295.55841435185</v>
      </c>
      <c r="F119" s="1">
        <v>4000</v>
      </c>
      <c r="G119" s="1" t="s">
        <v>0</v>
      </c>
      <c r="H119" s="1">
        <v>31.7587280273438</v>
      </c>
    </row>
    <row r="120" spans="1:8" ht="14.25" customHeight="1" x14ac:dyDescent="0.2">
      <c r="A120" s="2">
        <v>46295.55846064815</v>
      </c>
      <c r="B120" s="1">
        <v>4500</v>
      </c>
      <c r="C120" s="1" t="s">
        <v>0</v>
      </c>
      <c r="D120" s="1">
        <v>134.8876953125</v>
      </c>
      <c r="E120" s="2">
        <v>46295.55846064815</v>
      </c>
      <c r="F120" s="1">
        <v>4500</v>
      </c>
      <c r="G120" s="1" t="s">
        <v>0</v>
      </c>
      <c r="H120" s="1">
        <v>31.756591796875</v>
      </c>
    </row>
    <row r="121" spans="1:8" ht="14.25" customHeight="1" x14ac:dyDescent="0.2">
      <c r="A121" s="2">
        <v>46295.558506944442</v>
      </c>
      <c r="B121" s="1">
        <v>5000</v>
      </c>
      <c r="C121" s="1" t="s">
        <v>0</v>
      </c>
      <c r="D121" s="1">
        <v>134.90219116210901</v>
      </c>
      <c r="E121" s="2">
        <v>46295.558506944442</v>
      </c>
      <c r="F121" s="1">
        <v>5000</v>
      </c>
      <c r="G121" s="1" t="s">
        <v>0</v>
      </c>
      <c r="H121" s="1">
        <v>31.749267578125</v>
      </c>
    </row>
    <row r="122" spans="1:8" ht="14.25" customHeight="1" x14ac:dyDescent="0.2">
      <c r="A122" s="2">
        <v>46295.558553240742</v>
      </c>
      <c r="B122" s="1">
        <v>5500</v>
      </c>
      <c r="C122" s="1" t="s">
        <v>0</v>
      </c>
      <c r="D122" s="1">
        <v>134.89303588867199</v>
      </c>
      <c r="E122" s="2">
        <v>46295.558553240742</v>
      </c>
      <c r="F122" s="1">
        <v>5500</v>
      </c>
      <c r="G122" s="1" t="s">
        <v>0</v>
      </c>
      <c r="H122" s="1">
        <v>31.7440795898438</v>
      </c>
    </row>
    <row r="123" spans="1:8" ht="14.25" customHeight="1" x14ac:dyDescent="0.2">
      <c r="A123" s="2">
        <v>46295.558599537035</v>
      </c>
      <c r="B123" s="1">
        <v>6000</v>
      </c>
      <c r="C123" s="1" t="s">
        <v>0</v>
      </c>
      <c r="D123" s="1">
        <v>134.92965698242199</v>
      </c>
      <c r="E123" s="2">
        <v>46295.558599537035</v>
      </c>
      <c r="F123" s="1">
        <v>6000</v>
      </c>
      <c r="G123" s="1" t="s">
        <v>0</v>
      </c>
      <c r="H123" s="1">
        <v>31.7332458496094</v>
      </c>
    </row>
    <row r="124" spans="1:8" ht="14.25" customHeight="1" x14ac:dyDescent="0.2">
      <c r="A124" s="2">
        <v>46295.558645833335</v>
      </c>
      <c r="B124" s="1">
        <v>6500</v>
      </c>
      <c r="C124" s="1" t="s">
        <v>0</v>
      </c>
      <c r="D124" s="1">
        <v>134.94445800781301</v>
      </c>
      <c r="E124" s="2">
        <v>46295.558645833335</v>
      </c>
      <c r="F124" s="1">
        <v>6500</v>
      </c>
      <c r="G124" s="1" t="s">
        <v>0</v>
      </c>
      <c r="H124" s="1">
        <v>31.7466735839844</v>
      </c>
    </row>
    <row r="125" spans="1:8" ht="14.25" customHeight="1" x14ac:dyDescent="0.2">
      <c r="A125" s="2">
        <v>46295.558692129627</v>
      </c>
      <c r="B125" s="1">
        <v>7000</v>
      </c>
      <c r="C125" s="1" t="s">
        <v>0</v>
      </c>
      <c r="D125" s="1">
        <v>134.90890502929699</v>
      </c>
      <c r="E125" s="2">
        <v>46295.558692129627</v>
      </c>
      <c r="F125" s="1">
        <v>7000</v>
      </c>
      <c r="G125" s="1" t="s">
        <v>0</v>
      </c>
      <c r="H125" s="1">
        <v>31.7250061035156</v>
      </c>
    </row>
    <row r="126" spans="1:8" ht="14.25" customHeight="1" x14ac:dyDescent="0.2">
      <c r="A126" s="2">
        <v>46295.558738425927</v>
      </c>
      <c r="B126" s="1">
        <v>7500</v>
      </c>
      <c r="C126" s="1" t="s">
        <v>0</v>
      </c>
      <c r="D126" s="1">
        <v>134.93927001953099</v>
      </c>
      <c r="E126" s="2">
        <v>46295.558738425927</v>
      </c>
      <c r="F126" s="1">
        <v>7500</v>
      </c>
      <c r="G126" s="1" t="s">
        <v>0</v>
      </c>
      <c r="H126" s="1">
        <v>31.7350769042969</v>
      </c>
    </row>
    <row r="127" spans="1:8" ht="14.25" customHeight="1" x14ac:dyDescent="0.2">
      <c r="A127" s="2">
        <v>46295.55878472222</v>
      </c>
      <c r="B127" s="1">
        <v>8000</v>
      </c>
      <c r="C127" s="1" t="s">
        <v>0</v>
      </c>
      <c r="D127" s="1">
        <v>134.95147705078099</v>
      </c>
      <c r="E127" s="2">
        <v>46295.55878472222</v>
      </c>
      <c r="F127" s="1">
        <v>8000</v>
      </c>
      <c r="G127" s="1" t="s">
        <v>0</v>
      </c>
      <c r="H127" s="1">
        <v>31.7167663574219</v>
      </c>
    </row>
    <row r="128" spans="1:8" ht="14.25" customHeight="1" x14ac:dyDescent="0.2">
      <c r="A128" s="2">
        <v>46295.558842592596</v>
      </c>
      <c r="B128" s="1">
        <v>8500</v>
      </c>
      <c r="C128" s="1" t="s">
        <v>0</v>
      </c>
      <c r="D128" s="1">
        <v>134.96795654296901</v>
      </c>
      <c r="E128" s="2">
        <v>46295.558842592596</v>
      </c>
      <c r="F128" s="1">
        <v>8500</v>
      </c>
      <c r="G128" s="1" t="s">
        <v>0</v>
      </c>
      <c r="H128" s="1">
        <v>31.7262268066406</v>
      </c>
    </row>
    <row r="129" spans="1:8" ht="14.25" customHeight="1" x14ac:dyDescent="0.2">
      <c r="A129" s="2">
        <v>46295.558877314812</v>
      </c>
      <c r="B129" s="1">
        <v>9000</v>
      </c>
      <c r="C129" s="1" t="s">
        <v>0</v>
      </c>
      <c r="D129" s="1">
        <v>134.94049072265599</v>
      </c>
      <c r="E129" s="2">
        <v>46295.558877314812</v>
      </c>
      <c r="F129" s="1">
        <v>9000</v>
      </c>
      <c r="G129" s="1" t="s">
        <v>0</v>
      </c>
      <c r="H129" s="1">
        <v>31.7025756835938</v>
      </c>
    </row>
    <row r="130" spans="1:8" ht="14.25" customHeight="1" x14ac:dyDescent="0.2">
      <c r="A130" s="2">
        <v>46295.558935185189</v>
      </c>
      <c r="B130" s="1">
        <v>9500</v>
      </c>
      <c r="C130" s="1" t="s">
        <v>0</v>
      </c>
      <c r="D130" s="1">
        <v>135.042724609375</v>
      </c>
      <c r="E130" s="2">
        <v>46295.558935185189</v>
      </c>
      <c r="F130" s="1">
        <v>9500</v>
      </c>
      <c r="G130" s="1" t="s">
        <v>0</v>
      </c>
      <c r="H130" s="1">
        <v>31.7002868652344</v>
      </c>
    </row>
    <row r="131" spans="1:8" ht="14.25" customHeight="1" x14ac:dyDescent="0.2">
      <c r="A131" s="2">
        <v>46295.558981481481</v>
      </c>
      <c r="B131" s="1">
        <v>10000</v>
      </c>
      <c r="C131" s="1" t="s">
        <v>0</v>
      </c>
      <c r="D131" s="1">
        <v>134.98931884765599</v>
      </c>
      <c r="E131" s="2">
        <v>46295.558981481481</v>
      </c>
      <c r="F131" s="1">
        <v>10000</v>
      </c>
      <c r="G131" s="1" t="s">
        <v>0</v>
      </c>
      <c r="H131" s="1">
        <v>31.6412353515625</v>
      </c>
    </row>
    <row r="132" spans="1:8" ht="14.2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4.25" customHeight="1" x14ac:dyDescent="0.2">
      <c r="A133" s="2">
        <v>46295.579953703702</v>
      </c>
      <c r="B133" s="1">
        <v>-2000</v>
      </c>
      <c r="C133" s="1" t="s">
        <v>0</v>
      </c>
      <c r="D133" s="1">
        <v>136.01242065429699</v>
      </c>
      <c r="E133" s="2">
        <v>46295.579953703702</v>
      </c>
      <c r="F133" s="1">
        <v>-2000</v>
      </c>
      <c r="G133" s="1" t="s">
        <v>0</v>
      </c>
      <c r="H133" s="1">
        <v>7.7447509765625</v>
      </c>
    </row>
    <row r="134" spans="1:8" ht="14.25" customHeight="1" x14ac:dyDescent="0.2">
      <c r="A134" s="2">
        <v>46295.58</v>
      </c>
      <c r="B134" s="1">
        <v>-1500</v>
      </c>
      <c r="C134" s="1" t="s">
        <v>0</v>
      </c>
      <c r="D134" s="1">
        <v>136.00311279296901</v>
      </c>
      <c r="E134" s="2">
        <v>46295.58</v>
      </c>
      <c r="F134" s="1">
        <v>-1500</v>
      </c>
      <c r="G134" s="1" t="s">
        <v>0</v>
      </c>
      <c r="H134" s="1">
        <v>8.31085205078125</v>
      </c>
    </row>
    <row r="135" spans="1:8" ht="14.25" customHeight="1" x14ac:dyDescent="0.2">
      <c r="A135" s="2">
        <v>46295.580046296294</v>
      </c>
      <c r="B135" s="1">
        <v>-1000</v>
      </c>
      <c r="C135" s="1" t="s">
        <v>0</v>
      </c>
      <c r="D135" s="1">
        <v>136.00784301757801</v>
      </c>
      <c r="E135" s="2">
        <v>46295.580046296294</v>
      </c>
      <c r="F135" s="1">
        <v>-1000</v>
      </c>
      <c r="G135" s="1" t="s">
        <v>0</v>
      </c>
      <c r="H135" s="1">
        <v>8.0433654785156303</v>
      </c>
    </row>
    <row r="136" spans="1:8" ht="14.25" customHeight="1" x14ac:dyDescent="0.2">
      <c r="A136" s="2">
        <v>46295.580092592594</v>
      </c>
      <c r="B136" s="1">
        <v>-500</v>
      </c>
      <c r="C136" s="1" t="s">
        <v>0</v>
      </c>
      <c r="D136" s="1">
        <v>136.058349609375</v>
      </c>
      <c r="E136" s="2">
        <v>46295.580092592594</v>
      </c>
      <c r="F136" s="1">
        <v>-500</v>
      </c>
      <c r="G136" s="1" t="s">
        <v>0</v>
      </c>
      <c r="H136" s="1">
        <v>8.1376647949218803</v>
      </c>
    </row>
    <row r="137" spans="1:8" ht="14.25" customHeight="1" x14ac:dyDescent="0.2">
      <c r="A137" s="2">
        <v>46295.580138888887</v>
      </c>
      <c r="B137" s="1">
        <v>0</v>
      </c>
      <c r="C137" s="1" t="s">
        <v>0</v>
      </c>
      <c r="D137" s="1">
        <v>135.54992675781301</v>
      </c>
      <c r="E137" s="2">
        <v>46295.580138888887</v>
      </c>
      <c r="F137" s="1">
        <v>0</v>
      </c>
      <c r="G137" s="1" t="s">
        <v>0</v>
      </c>
      <c r="H137" s="1">
        <v>8.2269287109375</v>
      </c>
    </row>
    <row r="138" spans="1:8" ht="14.25" customHeight="1" x14ac:dyDescent="0.2">
      <c r="A138" s="2">
        <v>46295.580185185187</v>
      </c>
      <c r="B138" s="1">
        <v>500</v>
      </c>
      <c r="C138" s="1" t="s">
        <v>0</v>
      </c>
      <c r="D138" s="1">
        <v>135.985107421875</v>
      </c>
      <c r="E138" s="2">
        <v>46295.580185185187</v>
      </c>
      <c r="F138" s="1">
        <v>500</v>
      </c>
      <c r="G138" s="1" t="s">
        <v>0</v>
      </c>
      <c r="H138" s="1">
        <v>8.2884216308593803</v>
      </c>
    </row>
    <row r="139" spans="1:8" ht="14.25" customHeight="1" x14ac:dyDescent="0.2">
      <c r="A139" s="2">
        <v>46295.580231481479</v>
      </c>
      <c r="B139" s="1">
        <v>1000</v>
      </c>
      <c r="C139" s="1" t="s">
        <v>0</v>
      </c>
      <c r="D139" s="1">
        <v>136.00265502929699</v>
      </c>
      <c r="E139" s="2">
        <v>46295.580231481479</v>
      </c>
      <c r="F139" s="1">
        <v>1000</v>
      </c>
      <c r="G139" s="1" t="s">
        <v>0</v>
      </c>
      <c r="H139" s="1">
        <v>8.3695983886718803</v>
      </c>
    </row>
    <row r="140" spans="1:8" ht="14.25" customHeight="1" x14ac:dyDescent="0.2">
      <c r="A140" s="2">
        <v>46295.580277777779</v>
      </c>
      <c r="B140" s="1">
        <v>1500</v>
      </c>
      <c r="C140" s="1" t="s">
        <v>0</v>
      </c>
      <c r="D140" s="1">
        <v>135.95733642578099</v>
      </c>
      <c r="E140" s="2">
        <v>46295.580277777779</v>
      </c>
      <c r="F140" s="1">
        <v>1500</v>
      </c>
      <c r="G140" s="1" t="s">
        <v>0</v>
      </c>
      <c r="H140" s="1">
        <v>8.4300231933593803</v>
      </c>
    </row>
    <row r="141" spans="1:8" ht="14.25" customHeight="1" x14ac:dyDescent="0.2">
      <c r="A141" s="2">
        <v>46295.580324074072</v>
      </c>
      <c r="B141" s="1">
        <v>2000</v>
      </c>
      <c r="C141" s="1" t="s">
        <v>0</v>
      </c>
      <c r="D141" s="1">
        <v>135.98403930664099</v>
      </c>
      <c r="E141" s="2">
        <v>46295.580324074072</v>
      </c>
      <c r="F141" s="1">
        <v>2000</v>
      </c>
      <c r="G141" s="1" t="s">
        <v>0</v>
      </c>
      <c r="H141" s="1">
        <v>8.45428466796875</v>
      </c>
    </row>
    <row r="142" spans="1:8" ht="14.25" customHeight="1" x14ac:dyDescent="0.2">
      <c r="A142" s="2">
        <v>46295.580370370371</v>
      </c>
      <c r="B142" s="1">
        <v>2500</v>
      </c>
      <c r="C142" s="1" t="s">
        <v>0</v>
      </c>
      <c r="D142" s="1">
        <v>135.93841552734401</v>
      </c>
      <c r="E142" s="2">
        <v>46295.580370370371</v>
      </c>
      <c r="F142" s="1">
        <v>2500</v>
      </c>
      <c r="G142" s="1" t="s">
        <v>0</v>
      </c>
      <c r="H142" s="1">
        <v>8.4632873535156303</v>
      </c>
    </row>
    <row r="143" spans="1:8" ht="14.25" customHeight="1" x14ac:dyDescent="0.2">
      <c r="A143" s="2">
        <v>46295.580416666664</v>
      </c>
      <c r="B143" s="1">
        <v>3000</v>
      </c>
      <c r="C143" s="1" t="s">
        <v>0</v>
      </c>
      <c r="D143" s="1">
        <v>135.94558715820301</v>
      </c>
      <c r="E143" s="2">
        <v>46295.580416666664</v>
      </c>
      <c r="F143" s="1">
        <v>3000</v>
      </c>
      <c r="G143" s="1" t="s">
        <v>0</v>
      </c>
      <c r="H143" s="1">
        <v>8.4840393066406303</v>
      </c>
    </row>
    <row r="144" spans="1:8" ht="14.25" customHeight="1" x14ac:dyDescent="0.2">
      <c r="A144" s="2">
        <v>46295.580462962964</v>
      </c>
      <c r="B144" s="1">
        <v>3500</v>
      </c>
      <c r="C144" s="1" t="s">
        <v>0</v>
      </c>
      <c r="D144" s="1">
        <v>135.91094970703099</v>
      </c>
      <c r="E144" s="2">
        <v>46295.580462962964</v>
      </c>
      <c r="F144" s="1">
        <v>3500</v>
      </c>
      <c r="G144" s="1" t="s">
        <v>0</v>
      </c>
      <c r="H144" s="1">
        <v>9.5466613769531303</v>
      </c>
    </row>
    <row r="145" spans="1:8" ht="14.25" customHeight="1" x14ac:dyDescent="0.2">
      <c r="A145" s="2">
        <v>46295.580509259256</v>
      </c>
      <c r="B145" s="1">
        <v>4000</v>
      </c>
      <c r="C145" s="1" t="s">
        <v>0</v>
      </c>
      <c r="D145" s="1">
        <v>135.93536376953099</v>
      </c>
      <c r="E145" s="2">
        <v>46295.580509259256</v>
      </c>
      <c r="F145" s="1">
        <v>4000</v>
      </c>
      <c r="G145" s="1" t="s">
        <v>0</v>
      </c>
      <c r="H145" s="1">
        <v>11.0475158691406</v>
      </c>
    </row>
    <row r="146" spans="1:8" ht="14.25" customHeight="1" x14ac:dyDescent="0.2">
      <c r="A146" s="2">
        <v>46295.580555555556</v>
      </c>
      <c r="B146" s="1">
        <v>4500</v>
      </c>
      <c r="C146" s="1" t="s">
        <v>0</v>
      </c>
      <c r="D146" s="1">
        <v>135.89202880859401</v>
      </c>
      <c r="E146" s="2">
        <v>46295.580555555556</v>
      </c>
      <c r="F146" s="1">
        <v>4500</v>
      </c>
      <c r="G146" s="1" t="s">
        <v>0</v>
      </c>
      <c r="H146" s="1">
        <v>12.5125122070313</v>
      </c>
    </row>
    <row r="147" spans="1:8" ht="14.25" customHeight="1" x14ac:dyDescent="0.2">
      <c r="A147" s="2">
        <v>46295.580601851849</v>
      </c>
      <c r="B147" s="1">
        <v>5000</v>
      </c>
      <c r="C147" s="1" t="s">
        <v>0</v>
      </c>
      <c r="D147" s="1">
        <v>135.94436645507801</v>
      </c>
      <c r="E147" s="2">
        <v>46295.580601851849</v>
      </c>
      <c r="F147" s="1">
        <v>5000</v>
      </c>
      <c r="G147" s="1" t="s">
        <v>0</v>
      </c>
      <c r="H147" s="1">
        <v>13.2284545898438</v>
      </c>
    </row>
    <row r="148" spans="1:8" ht="14.25" customHeight="1" x14ac:dyDescent="0.2">
      <c r="A148" s="2">
        <v>46295.580648148149</v>
      </c>
      <c r="B148" s="1">
        <v>5500</v>
      </c>
      <c r="C148" s="1" t="s">
        <v>0</v>
      </c>
      <c r="D148" s="1">
        <v>135.95596313476599</v>
      </c>
      <c r="E148" s="2">
        <v>46295.580648148149</v>
      </c>
      <c r="F148" s="1">
        <v>5500</v>
      </c>
      <c r="G148" s="1" t="s">
        <v>0</v>
      </c>
      <c r="H148" s="1">
        <v>14.2684936523438</v>
      </c>
    </row>
    <row r="149" spans="1:8" ht="14.25" customHeight="1" x14ac:dyDescent="0.2">
      <c r="A149" s="2">
        <v>46295.580694444441</v>
      </c>
      <c r="B149" s="1">
        <v>6000</v>
      </c>
      <c r="C149" s="1" t="s">
        <v>0</v>
      </c>
      <c r="D149" s="1">
        <v>135.99884033203099</v>
      </c>
      <c r="E149" s="2">
        <v>46295.580694444441</v>
      </c>
      <c r="F149" s="1">
        <v>6000</v>
      </c>
      <c r="G149" s="1" t="s">
        <v>0</v>
      </c>
      <c r="H149" s="1">
        <v>14.6531677246094</v>
      </c>
    </row>
    <row r="150" spans="1:8" ht="14.25" customHeight="1" x14ac:dyDescent="0.2">
      <c r="A150" s="2">
        <v>46295.580740740741</v>
      </c>
      <c r="B150" s="1">
        <v>6500</v>
      </c>
      <c r="C150" s="1" t="s">
        <v>0</v>
      </c>
      <c r="D150" s="1">
        <v>136.00112915039099</v>
      </c>
      <c r="E150" s="2">
        <v>46295.580740740741</v>
      </c>
      <c r="F150" s="1">
        <v>6500</v>
      </c>
      <c r="G150" s="1" t="s">
        <v>0</v>
      </c>
      <c r="H150" s="1">
        <v>14.9981689453125</v>
      </c>
    </row>
    <row r="151" spans="1:8" ht="14.25" customHeight="1" x14ac:dyDescent="0.2">
      <c r="A151" s="2">
        <v>46295.580787037034</v>
      </c>
      <c r="B151" s="1">
        <v>7000</v>
      </c>
      <c r="C151" s="1" t="s">
        <v>0</v>
      </c>
      <c r="D151" s="1">
        <v>135.97152709960901</v>
      </c>
      <c r="E151" s="2">
        <v>46295.580787037034</v>
      </c>
      <c r="F151" s="1">
        <v>7000</v>
      </c>
      <c r="G151" s="1" t="s">
        <v>0</v>
      </c>
      <c r="H151" s="1">
        <v>16.7970275878906</v>
      </c>
    </row>
    <row r="152" spans="1:8" ht="14.25" customHeight="1" x14ac:dyDescent="0.2">
      <c r="A152" s="2">
        <v>46295.580833333333</v>
      </c>
      <c r="B152" s="1">
        <v>7500</v>
      </c>
      <c r="C152" s="1" t="s">
        <v>0</v>
      </c>
      <c r="D152" s="1">
        <v>135.97213745117199</v>
      </c>
      <c r="E152" s="2">
        <v>46295.580833333333</v>
      </c>
      <c r="F152" s="1">
        <v>7500</v>
      </c>
      <c r="G152" s="1" t="s">
        <v>0</v>
      </c>
      <c r="H152" s="1">
        <v>15.9471130371094</v>
      </c>
    </row>
    <row r="153" spans="1:8" ht="14.25" customHeight="1" x14ac:dyDescent="0.2">
      <c r="A153" s="2">
        <v>46295.580879629626</v>
      </c>
      <c r="B153" s="1">
        <v>8000</v>
      </c>
      <c r="C153" s="1" t="s">
        <v>0</v>
      </c>
      <c r="D153" s="1">
        <v>136.01776123046901</v>
      </c>
      <c r="E153" s="2">
        <v>46295.580879629626</v>
      </c>
      <c r="F153" s="1">
        <v>8000</v>
      </c>
      <c r="G153" s="1" t="s">
        <v>0</v>
      </c>
      <c r="H153" s="1">
        <v>18.4359741210938</v>
      </c>
    </row>
    <row r="154" spans="1:8" ht="14.25" customHeight="1" x14ac:dyDescent="0.2">
      <c r="A154" s="2">
        <v>46295.580925925926</v>
      </c>
      <c r="B154" s="1">
        <v>8500</v>
      </c>
      <c r="C154" s="1" t="s">
        <v>0</v>
      </c>
      <c r="D154" s="1">
        <v>136.02737426757801</v>
      </c>
      <c r="E154" s="2">
        <v>46295.580925925926</v>
      </c>
      <c r="F154" s="1">
        <v>8500</v>
      </c>
      <c r="G154" s="1" t="s">
        <v>0</v>
      </c>
      <c r="H154" s="1">
        <v>16.6789245605469</v>
      </c>
    </row>
    <row r="155" spans="1:8" ht="14.25" customHeight="1" x14ac:dyDescent="0.2">
      <c r="A155" s="2">
        <v>46295.580972222226</v>
      </c>
      <c r="B155" s="1">
        <v>9000</v>
      </c>
      <c r="C155" s="1" t="s">
        <v>0</v>
      </c>
      <c r="D155" s="1">
        <v>135.9814453125</v>
      </c>
      <c r="E155" s="2">
        <v>46295.580972222226</v>
      </c>
      <c r="F155" s="1">
        <v>9000</v>
      </c>
      <c r="G155" s="1" t="s">
        <v>0</v>
      </c>
      <c r="H155" s="1">
        <v>17.1878051757813</v>
      </c>
    </row>
    <row r="156" spans="1:8" ht="14.25" customHeight="1" x14ac:dyDescent="0.2">
      <c r="A156" s="2">
        <v>46295.581018518518</v>
      </c>
      <c r="B156" s="1">
        <v>9500</v>
      </c>
      <c r="C156" s="1" t="s">
        <v>0</v>
      </c>
      <c r="D156" s="1">
        <v>135.93765258789099</v>
      </c>
      <c r="E156" s="2">
        <v>46295.581018518518</v>
      </c>
      <c r="F156" s="1">
        <v>9500</v>
      </c>
      <c r="G156" s="1" t="s">
        <v>0</v>
      </c>
      <c r="H156" s="1">
        <v>17.7384948730469</v>
      </c>
    </row>
    <row r="157" spans="1:8" ht="14.25" customHeight="1" x14ac:dyDescent="0.2">
      <c r="A157" s="2">
        <v>46295.581064814818</v>
      </c>
      <c r="B157" s="1">
        <v>10000</v>
      </c>
      <c r="C157" s="1" t="s">
        <v>0</v>
      </c>
      <c r="D157" s="1">
        <v>135.99105834960901</v>
      </c>
      <c r="E157" s="2">
        <v>46295.581064814818</v>
      </c>
      <c r="F157" s="1">
        <v>10000</v>
      </c>
      <c r="G157" s="1" t="s">
        <v>0</v>
      </c>
      <c r="H157" s="1">
        <v>18.2705688476563</v>
      </c>
    </row>
    <row r="158" spans="1:8" ht="14.2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4.25" customHeight="1" x14ac:dyDescent="0.2">
      <c r="A159" s="2">
        <v>46295.581724537034</v>
      </c>
      <c r="B159" s="1">
        <v>-2000</v>
      </c>
      <c r="C159" s="1" t="s">
        <v>0</v>
      </c>
      <c r="D159" s="1">
        <v>136.00738525390599</v>
      </c>
      <c r="E159" s="2">
        <v>46295.581724537034</v>
      </c>
      <c r="F159" s="1">
        <v>-2000</v>
      </c>
      <c r="G159" s="1" t="s">
        <v>0</v>
      </c>
      <c r="H159" s="1">
        <v>8.6384582519531303</v>
      </c>
    </row>
    <row r="160" spans="1:8" ht="14.25" customHeight="1" x14ac:dyDescent="0.2">
      <c r="A160" s="2">
        <v>46295.581782407404</v>
      </c>
      <c r="B160" s="1">
        <v>-1500</v>
      </c>
      <c r="C160" s="1" t="s">
        <v>0</v>
      </c>
      <c r="D160" s="1">
        <v>136.03485107421901</v>
      </c>
      <c r="E160" s="2">
        <v>46295.581782407404</v>
      </c>
      <c r="F160" s="1">
        <v>-1500</v>
      </c>
      <c r="G160" s="1" t="s">
        <v>0</v>
      </c>
      <c r="H160" s="1">
        <v>8.626708984375</v>
      </c>
    </row>
    <row r="161" spans="1:8" ht="14.25" customHeight="1" x14ac:dyDescent="0.2">
      <c r="A161" s="2">
        <v>46295.581828703704</v>
      </c>
      <c r="B161" s="1">
        <v>-1000</v>
      </c>
      <c r="C161" s="1" t="s">
        <v>0</v>
      </c>
      <c r="D161" s="1">
        <v>135.965576171875</v>
      </c>
      <c r="E161" s="2">
        <v>46295.581828703704</v>
      </c>
      <c r="F161" s="1">
        <v>-1000</v>
      </c>
      <c r="G161" s="1" t="s">
        <v>0</v>
      </c>
      <c r="H161" s="1">
        <v>8.6158752441406303</v>
      </c>
    </row>
    <row r="162" spans="1:8" ht="14.25" customHeight="1" x14ac:dyDescent="0.2">
      <c r="A162" s="2">
        <v>46295.581875000003</v>
      </c>
      <c r="B162" s="1">
        <v>-500</v>
      </c>
      <c r="C162" s="1" t="s">
        <v>0</v>
      </c>
      <c r="D162" s="1">
        <v>135.94879150390599</v>
      </c>
      <c r="E162" s="2">
        <v>46295.581875000003</v>
      </c>
      <c r="F162" s="1">
        <v>-500</v>
      </c>
      <c r="G162" s="1" t="s">
        <v>0</v>
      </c>
      <c r="H162" s="1">
        <v>8.6039733886718803</v>
      </c>
    </row>
    <row r="163" spans="1:8" ht="14.25" customHeight="1" x14ac:dyDescent="0.2">
      <c r="A163" s="2">
        <v>46295.581921296296</v>
      </c>
      <c r="B163" s="1">
        <v>0</v>
      </c>
      <c r="C163" s="1" t="s">
        <v>0</v>
      </c>
      <c r="D163" s="1">
        <v>135.97259521484401</v>
      </c>
      <c r="E163" s="2">
        <v>46295.581921296296</v>
      </c>
      <c r="F163" s="1">
        <v>0</v>
      </c>
      <c r="G163" s="1" t="s">
        <v>0</v>
      </c>
      <c r="H163" s="1">
        <v>8.609619140625</v>
      </c>
    </row>
    <row r="164" spans="1:8" ht="14.25" customHeight="1" x14ac:dyDescent="0.2">
      <c r="A164" s="2">
        <v>46295.581967592596</v>
      </c>
      <c r="B164" s="1">
        <v>500</v>
      </c>
      <c r="C164" s="1" t="s">
        <v>0</v>
      </c>
      <c r="D164" s="1">
        <v>135.97259521484401</v>
      </c>
      <c r="E164" s="2">
        <v>46295.581967592596</v>
      </c>
      <c r="F164" s="1">
        <v>500</v>
      </c>
      <c r="G164" s="1" t="s">
        <v>0</v>
      </c>
      <c r="H164" s="1">
        <v>8.61724853515625</v>
      </c>
    </row>
    <row r="165" spans="1:8" ht="14.25" customHeight="1" x14ac:dyDescent="0.2">
      <c r="A165" s="2">
        <v>46295.582013888888</v>
      </c>
      <c r="B165" s="1">
        <v>1000</v>
      </c>
      <c r="C165" s="1" t="s">
        <v>0</v>
      </c>
      <c r="D165" s="1">
        <v>135.99563598632801</v>
      </c>
      <c r="E165" s="2">
        <v>46295.582013888888</v>
      </c>
      <c r="F165" s="1">
        <v>1000</v>
      </c>
      <c r="G165" s="1" t="s">
        <v>0</v>
      </c>
      <c r="H165" s="1">
        <v>8.6531066894531303</v>
      </c>
    </row>
    <row r="166" spans="1:8" ht="14.25" customHeight="1" x14ac:dyDescent="0.2">
      <c r="A166" s="2">
        <v>46295.582060185188</v>
      </c>
      <c r="B166" s="1">
        <v>1500</v>
      </c>
      <c r="C166" s="1" t="s">
        <v>0</v>
      </c>
      <c r="D166" s="1">
        <v>136.03790283203099</v>
      </c>
      <c r="E166" s="2">
        <v>46295.582060185188</v>
      </c>
      <c r="F166" s="1">
        <v>1500</v>
      </c>
      <c r="G166" s="1" t="s">
        <v>0</v>
      </c>
      <c r="H166" s="1">
        <v>8.7861633300781303</v>
      </c>
    </row>
    <row r="167" spans="1:8" ht="14.25" customHeight="1" x14ac:dyDescent="0.2">
      <c r="A167" s="2">
        <v>46295.582106481481</v>
      </c>
      <c r="B167" s="1">
        <v>2000</v>
      </c>
      <c r="C167" s="1" t="s">
        <v>0</v>
      </c>
      <c r="D167" s="1">
        <v>136.04736328125</v>
      </c>
      <c r="E167" s="2">
        <v>46295.582106481481</v>
      </c>
      <c r="F167" s="1">
        <v>2000</v>
      </c>
      <c r="G167" s="1" t="s">
        <v>0</v>
      </c>
      <c r="H167" s="1">
        <v>9.1065979003906303</v>
      </c>
    </row>
    <row r="168" spans="1:8" ht="14.25" customHeight="1" x14ac:dyDescent="0.2">
      <c r="A168" s="2">
        <v>46295.582152777781</v>
      </c>
      <c r="B168" s="1">
        <v>2500</v>
      </c>
      <c r="C168" s="1" t="s">
        <v>0</v>
      </c>
      <c r="D168" s="1">
        <v>136.05804443359401</v>
      </c>
      <c r="E168" s="2">
        <v>46295.582152777781</v>
      </c>
      <c r="F168" s="1">
        <v>2500</v>
      </c>
      <c r="G168" s="1" t="s">
        <v>0</v>
      </c>
      <c r="H168" s="1">
        <v>9.3351745605468803</v>
      </c>
    </row>
    <row r="169" spans="1:8" ht="14.25" customHeight="1" x14ac:dyDescent="0.2">
      <c r="A169" s="2">
        <v>46295.582199074073</v>
      </c>
      <c r="B169" s="1">
        <v>3000</v>
      </c>
      <c r="C169" s="1" t="s">
        <v>0</v>
      </c>
      <c r="D169" s="1">
        <v>136.05529785156301</v>
      </c>
      <c r="E169" s="2">
        <v>46295.582199074073</v>
      </c>
      <c r="F169" s="1">
        <v>3000</v>
      </c>
      <c r="G169" s="1" t="s">
        <v>0</v>
      </c>
      <c r="H169" s="1">
        <v>9.66583251953125</v>
      </c>
    </row>
    <row r="170" spans="1:8" ht="14.25" customHeight="1" x14ac:dyDescent="0.2">
      <c r="A170" s="2">
        <v>46295.582245370373</v>
      </c>
      <c r="B170" s="1">
        <v>3500</v>
      </c>
      <c r="C170" s="1" t="s">
        <v>0</v>
      </c>
      <c r="D170" s="1">
        <v>136.08596801757801</v>
      </c>
      <c r="E170" s="2">
        <v>46295.582245370373</v>
      </c>
      <c r="F170" s="1">
        <v>3500</v>
      </c>
      <c r="G170" s="1" t="s">
        <v>0</v>
      </c>
      <c r="H170" s="1">
        <v>10.2522277832031</v>
      </c>
    </row>
    <row r="171" spans="1:8" ht="14.25" customHeight="1" x14ac:dyDescent="0.2">
      <c r="A171" s="2">
        <v>46295.582291666666</v>
      </c>
      <c r="B171" s="1">
        <v>4000</v>
      </c>
      <c r="C171" s="1" t="s">
        <v>0</v>
      </c>
      <c r="D171" s="1">
        <v>136.06842041015599</v>
      </c>
      <c r="E171" s="2">
        <v>46295.582291666666</v>
      </c>
      <c r="F171" s="1">
        <v>4000</v>
      </c>
      <c r="G171" s="1" t="s">
        <v>0</v>
      </c>
      <c r="H171" s="1">
        <v>11.20361328125</v>
      </c>
    </row>
    <row r="172" spans="1:8" ht="14.25" customHeight="1" x14ac:dyDescent="0.2">
      <c r="A172" s="2">
        <v>46295.582337962966</v>
      </c>
      <c r="B172" s="1">
        <v>4500</v>
      </c>
      <c r="C172" s="1" t="s">
        <v>0</v>
      </c>
      <c r="D172" s="1">
        <v>136.08627319335901</v>
      </c>
      <c r="E172" s="2">
        <v>46295.582337962966</v>
      </c>
      <c r="F172" s="1">
        <v>4500</v>
      </c>
      <c r="G172" s="1" t="s">
        <v>0</v>
      </c>
      <c r="H172" s="1">
        <v>12.4537658691406</v>
      </c>
    </row>
    <row r="173" spans="1:8" ht="14.25" customHeight="1" x14ac:dyDescent="0.2">
      <c r="A173" s="2">
        <v>46295.582384259258</v>
      </c>
      <c r="B173" s="1">
        <v>5000</v>
      </c>
      <c r="C173" s="1" t="s">
        <v>0</v>
      </c>
      <c r="D173" s="1">
        <v>136.05209350585901</v>
      </c>
      <c r="E173" s="2">
        <v>46295.582384259258</v>
      </c>
      <c r="F173" s="1">
        <v>5000</v>
      </c>
      <c r="G173" s="1" t="s">
        <v>0</v>
      </c>
      <c r="H173" s="1">
        <v>13.9381408691406</v>
      </c>
    </row>
    <row r="174" spans="1:8" ht="14.25" customHeight="1" x14ac:dyDescent="0.2">
      <c r="A174" s="2">
        <v>46295.582430555558</v>
      </c>
      <c r="B174" s="1">
        <v>5500</v>
      </c>
      <c r="C174" s="1" t="s">
        <v>0</v>
      </c>
      <c r="D174" s="1">
        <v>136.11053466796901</v>
      </c>
      <c r="E174" s="2">
        <v>46295.582430555558</v>
      </c>
      <c r="F174" s="1">
        <v>5500</v>
      </c>
      <c r="G174" s="1" t="s">
        <v>0</v>
      </c>
      <c r="H174" s="1">
        <v>13.8948059082031</v>
      </c>
    </row>
    <row r="175" spans="1:8" ht="14.25" customHeight="1" x14ac:dyDescent="0.2">
      <c r="A175" s="2">
        <v>46295.582476851851</v>
      </c>
      <c r="B175" s="1">
        <v>6000</v>
      </c>
      <c r="C175" s="1" t="s">
        <v>0</v>
      </c>
      <c r="D175" s="1">
        <v>136.12106323242199</v>
      </c>
      <c r="E175" s="2">
        <v>46295.582476851851</v>
      </c>
      <c r="F175" s="1">
        <v>6000</v>
      </c>
      <c r="G175" s="1" t="s">
        <v>0</v>
      </c>
      <c r="H175" s="1">
        <v>14.4752502441406</v>
      </c>
    </row>
    <row r="176" spans="1:8" ht="14.25" customHeight="1" x14ac:dyDescent="0.2">
      <c r="A176" s="2">
        <v>46295.58252314815</v>
      </c>
      <c r="B176" s="1">
        <v>6500</v>
      </c>
      <c r="C176" s="1" t="s">
        <v>0</v>
      </c>
      <c r="D176" s="1">
        <v>136.1083984375</v>
      </c>
      <c r="E176" s="2">
        <v>46295.58252314815</v>
      </c>
      <c r="F176" s="1">
        <v>6500</v>
      </c>
      <c r="G176" s="1" t="s">
        <v>0</v>
      </c>
      <c r="H176" s="1">
        <v>15.0588989257813</v>
      </c>
    </row>
    <row r="177" spans="1:8" ht="14.25" customHeight="1" x14ac:dyDescent="0.2">
      <c r="A177" s="2">
        <v>46295.582569444443</v>
      </c>
      <c r="B177" s="1">
        <v>7000</v>
      </c>
      <c r="C177" s="1" t="s">
        <v>0</v>
      </c>
      <c r="D177" s="1">
        <v>136.09802246093801</v>
      </c>
      <c r="E177" s="2">
        <v>46295.582569444443</v>
      </c>
      <c r="F177" s="1">
        <v>7000</v>
      </c>
      <c r="G177" s="1" t="s">
        <v>0</v>
      </c>
      <c r="H177" s="1">
        <v>15.6170654296875</v>
      </c>
    </row>
    <row r="178" spans="1:8" ht="14.25" customHeight="1" x14ac:dyDescent="0.2">
      <c r="A178" s="2">
        <v>46295.582615740743</v>
      </c>
      <c r="B178" s="1">
        <v>7500</v>
      </c>
      <c r="C178" s="1" t="s">
        <v>0</v>
      </c>
      <c r="D178" s="1">
        <v>136.12365722656301</v>
      </c>
      <c r="E178" s="2">
        <v>46295.582615740743</v>
      </c>
      <c r="F178" s="1">
        <v>7500</v>
      </c>
      <c r="G178" s="1" t="s">
        <v>0</v>
      </c>
      <c r="H178" s="1">
        <v>16.0379028320313</v>
      </c>
    </row>
    <row r="179" spans="1:8" ht="14.25" customHeight="1" x14ac:dyDescent="0.2">
      <c r="A179" s="2">
        <v>46295.582662037035</v>
      </c>
      <c r="B179" s="1">
        <v>8000</v>
      </c>
      <c r="C179" s="1" t="s">
        <v>0</v>
      </c>
      <c r="D179" s="1">
        <v>136.11602783203099</v>
      </c>
      <c r="E179" s="2">
        <v>46295.582662037035</v>
      </c>
      <c r="F179" s="1">
        <v>8000</v>
      </c>
      <c r="G179" s="1" t="s">
        <v>0</v>
      </c>
      <c r="H179" s="1">
        <v>16.3868713378906</v>
      </c>
    </row>
    <row r="180" spans="1:8" ht="14.25" customHeight="1" x14ac:dyDescent="0.2">
      <c r="A180" s="2">
        <v>46295.582708333335</v>
      </c>
      <c r="B180" s="1">
        <v>8500</v>
      </c>
      <c r="C180" s="1" t="s">
        <v>0</v>
      </c>
      <c r="D180" s="1">
        <v>136.13174438476599</v>
      </c>
      <c r="E180" s="2">
        <v>46295.582708333335</v>
      </c>
      <c r="F180" s="1">
        <v>8500</v>
      </c>
      <c r="G180" s="1" t="s">
        <v>0</v>
      </c>
      <c r="H180" s="1">
        <v>16.8344116210938</v>
      </c>
    </row>
    <row r="181" spans="1:8" ht="14.25" customHeight="1" x14ac:dyDescent="0.2">
      <c r="A181" s="2">
        <v>46295.582754629628</v>
      </c>
      <c r="B181" s="1">
        <v>9000</v>
      </c>
      <c r="C181" s="1" t="s">
        <v>0</v>
      </c>
      <c r="D181" s="1">
        <v>136.17034912109401</v>
      </c>
      <c r="E181" s="2">
        <v>46295.582754629628</v>
      </c>
      <c r="F181" s="1">
        <v>9000</v>
      </c>
      <c r="G181" s="1" t="s">
        <v>0</v>
      </c>
      <c r="H181" s="1">
        <v>17.2718811035156</v>
      </c>
    </row>
    <row r="182" spans="1:8" ht="14.25" customHeight="1" x14ac:dyDescent="0.2">
      <c r="A182" s="2">
        <v>46295.582800925928</v>
      </c>
      <c r="B182" s="1">
        <v>9500</v>
      </c>
      <c r="C182" s="1" t="s">
        <v>0</v>
      </c>
      <c r="D182" s="1">
        <v>136.12884521484401</v>
      </c>
      <c r="E182" s="2">
        <v>46295.582800925928</v>
      </c>
      <c r="F182" s="1">
        <v>9500</v>
      </c>
      <c r="G182" s="1" t="s">
        <v>0</v>
      </c>
      <c r="H182" s="1">
        <v>17.6512145996094</v>
      </c>
    </row>
    <row r="183" spans="1:8" ht="14.25" customHeight="1" x14ac:dyDescent="0.2">
      <c r="A183" s="2">
        <v>46295.58284722222</v>
      </c>
      <c r="B183" s="1">
        <v>10000</v>
      </c>
      <c r="C183" s="1" t="s">
        <v>0</v>
      </c>
      <c r="D183" s="1">
        <v>136.16760253906301</v>
      </c>
      <c r="E183" s="2">
        <v>46295.58284722222</v>
      </c>
      <c r="F183" s="1">
        <v>10000</v>
      </c>
      <c r="G183" s="1" t="s">
        <v>0</v>
      </c>
      <c r="H183" s="1">
        <v>18.2844543457031</v>
      </c>
    </row>
    <row r="184" spans="1:8" ht="14.25" customHeight="1" x14ac:dyDescent="0.2">
      <c r="A184" s="2">
        <v>46295.58289351852</v>
      </c>
      <c r="B184" s="1">
        <v>10500</v>
      </c>
      <c r="C184" s="1" t="s">
        <v>0</v>
      </c>
      <c r="D184" s="1">
        <v>136.16729736328099</v>
      </c>
      <c r="E184" s="2">
        <v>46295.58289351852</v>
      </c>
      <c r="F184" s="1">
        <v>10500</v>
      </c>
      <c r="G184" s="1" t="s">
        <v>0</v>
      </c>
      <c r="H184" s="1">
        <v>19.368896484375</v>
      </c>
    </row>
    <row r="185" spans="1:8" ht="14.25" customHeight="1" x14ac:dyDescent="0.2">
      <c r="A185" s="2">
        <v>46295.582939814813</v>
      </c>
      <c r="B185" s="1">
        <v>11000</v>
      </c>
      <c r="C185" s="1" t="s">
        <v>0</v>
      </c>
      <c r="D185" s="1">
        <v>136.14944458007801</v>
      </c>
      <c r="E185" s="2">
        <v>46295.582939814813</v>
      </c>
      <c r="F185" s="1">
        <v>11000</v>
      </c>
      <c r="G185" s="1" t="s">
        <v>0</v>
      </c>
      <c r="H185" s="1">
        <v>18.7605285644531</v>
      </c>
    </row>
    <row r="186" spans="1:8" ht="14.25" customHeight="1" x14ac:dyDescent="0.2">
      <c r="A186" s="2">
        <v>46295.582986111112</v>
      </c>
      <c r="B186" s="1">
        <v>11500</v>
      </c>
      <c r="C186" s="1" t="s">
        <v>0</v>
      </c>
      <c r="D186" s="1">
        <v>136.13739013671901</v>
      </c>
      <c r="E186" s="2">
        <v>46295.582986111112</v>
      </c>
      <c r="F186" s="1">
        <v>11500</v>
      </c>
      <c r="G186" s="1" t="s">
        <v>0</v>
      </c>
      <c r="H186" s="1">
        <v>18.97705078125</v>
      </c>
    </row>
    <row r="187" spans="1:8" ht="14.25" customHeight="1" x14ac:dyDescent="0.2">
      <c r="A187" s="2">
        <v>46295.583032407405</v>
      </c>
      <c r="B187" s="1">
        <v>12000</v>
      </c>
      <c r="C187" s="1" t="s">
        <v>0</v>
      </c>
      <c r="D187" s="1">
        <v>136.16134643554699</v>
      </c>
      <c r="E187" s="2">
        <v>46295.583032407405</v>
      </c>
      <c r="F187" s="1">
        <v>12000</v>
      </c>
      <c r="G187" s="1" t="s">
        <v>0</v>
      </c>
      <c r="H187" s="1">
        <v>20.3599548339844</v>
      </c>
    </row>
    <row r="188" spans="1:8" ht="14.25" customHeight="1" x14ac:dyDescent="0.2">
      <c r="A188" s="2">
        <v>46295.583078703705</v>
      </c>
      <c r="B188" s="1">
        <v>12500</v>
      </c>
      <c r="C188" s="1" t="s">
        <v>0</v>
      </c>
      <c r="D188" s="1">
        <v>136.14349365234401</v>
      </c>
      <c r="E188" s="2">
        <v>46295.583078703705</v>
      </c>
      <c r="F188" s="1">
        <v>12500</v>
      </c>
      <c r="G188" s="1" t="s">
        <v>0</v>
      </c>
      <c r="H188" s="1">
        <v>21.083984375</v>
      </c>
    </row>
    <row r="189" spans="1:8" ht="14.25" customHeight="1" x14ac:dyDescent="0.2">
      <c r="A189" s="2">
        <v>46295.583124999997</v>
      </c>
      <c r="B189" s="1">
        <v>13000</v>
      </c>
      <c r="C189" s="1" t="s">
        <v>0</v>
      </c>
      <c r="D189" s="1">
        <v>136.11267089843801</v>
      </c>
      <c r="E189" s="2">
        <v>46295.583124999997</v>
      </c>
      <c r="F189" s="1">
        <v>13000</v>
      </c>
      <c r="G189" s="1" t="s">
        <v>0</v>
      </c>
      <c r="H189" s="1">
        <v>20.9051513671875</v>
      </c>
    </row>
    <row r="190" spans="1:8" ht="14.25" customHeight="1" x14ac:dyDescent="0.2">
      <c r="A190" s="2">
        <v>46295.583171296297</v>
      </c>
      <c r="B190" s="1">
        <v>13500</v>
      </c>
      <c r="C190" s="1" t="s">
        <v>0</v>
      </c>
      <c r="D190" s="1">
        <v>136.14974975585901</v>
      </c>
      <c r="E190" s="2">
        <v>46295.583171296297</v>
      </c>
      <c r="F190" s="1">
        <v>13500</v>
      </c>
      <c r="G190" s="1" t="s">
        <v>0</v>
      </c>
      <c r="H190" s="1">
        <v>20.5874633789063</v>
      </c>
    </row>
    <row r="191" spans="1:8" ht="14.25" customHeight="1" x14ac:dyDescent="0.2">
      <c r="A191" s="2">
        <v>46295.58321759259</v>
      </c>
      <c r="B191" s="1">
        <v>14000</v>
      </c>
      <c r="C191" s="1" t="s">
        <v>0</v>
      </c>
      <c r="D191" s="1">
        <v>136.18957519531301</v>
      </c>
      <c r="E191" s="2">
        <v>46295.58321759259</v>
      </c>
      <c r="F191" s="1">
        <v>14000</v>
      </c>
      <c r="G191" s="1" t="s">
        <v>0</v>
      </c>
      <c r="H191" s="1">
        <v>20.4946899414063</v>
      </c>
    </row>
    <row r="192" spans="1:8" ht="14.25" customHeight="1" x14ac:dyDescent="0.2">
      <c r="A192" s="2">
        <v>46295.58326388889</v>
      </c>
      <c r="B192" s="1">
        <v>14500</v>
      </c>
      <c r="C192" s="1" t="s">
        <v>0</v>
      </c>
      <c r="D192" s="1">
        <v>136.14791870117199</v>
      </c>
      <c r="E192" s="2">
        <v>46295.58326388889</v>
      </c>
      <c r="F192" s="1">
        <v>14500</v>
      </c>
      <c r="G192" s="1" t="s">
        <v>0</v>
      </c>
      <c r="H192" s="1">
        <v>20.6047058105469</v>
      </c>
    </row>
    <row r="193" spans="1:8" ht="14.25" customHeight="1" x14ac:dyDescent="0.2">
      <c r="A193" s="2">
        <v>46295.583310185182</v>
      </c>
      <c r="B193" s="1">
        <v>15000</v>
      </c>
      <c r="C193" s="1" t="s">
        <v>0</v>
      </c>
      <c r="D193" s="1">
        <v>136.14059448242199</v>
      </c>
      <c r="E193" s="2">
        <v>46295.583310185182</v>
      </c>
      <c r="F193" s="1">
        <v>15000</v>
      </c>
      <c r="G193" s="1" t="s">
        <v>0</v>
      </c>
      <c r="H193" s="1">
        <v>20.3324890136719</v>
      </c>
    </row>
    <row r="194" spans="1:8" ht="14.25" customHeight="1" x14ac:dyDescent="0.2">
      <c r="A194" s="2">
        <v>46295.583356481482</v>
      </c>
      <c r="B194" s="1">
        <v>15500</v>
      </c>
      <c r="C194" s="1" t="s">
        <v>0</v>
      </c>
      <c r="D194" s="1">
        <v>136.19598388671901</v>
      </c>
      <c r="E194" s="2">
        <v>46295.583356481482</v>
      </c>
      <c r="F194" s="1">
        <v>15500</v>
      </c>
      <c r="G194" s="1" t="s">
        <v>0</v>
      </c>
      <c r="H194" s="1">
        <v>20.3544616699219</v>
      </c>
    </row>
    <row r="195" spans="1:8" ht="14.25" customHeight="1" x14ac:dyDescent="0.2">
      <c r="A195" s="2">
        <v>46295.583402777775</v>
      </c>
      <c r="B195" s="1">
        <v>16000</v>
      </c>
      <c r="C195" s="1" t="s">
        <v>0</v>
      </c>
      <c r="D195" s="1">
        <v>136.17843627929699</v>
      </c>
      <c r="E195" s="2">
        <v>46295.583402777775</v>
      </c>
      <c r="F195" s="1">
        <v>16000</v>
      </c>
      <c r="G195" s="1" t="s">
        <v>0</v>
      </c>
      <c r="H195" s="1">
        <v>20.5442810058594</v>
      </c>
    </row>
    <row r="196" spans="1:8" ht="14.25" customHeight="1" x14ac:dyDescent="0.2">
      <c r="A196" s="2">
        <v>46295.583449074074</v>
      </c>
      <c r="B196" s="1">
        <v>16500</v>
      </c>
      <c r="C196" s="1" t="s">
        <v>0</v>
      </c>
      <c r="D196" s="1">
        <v>136.24069213867199</v>
      </c>
      <c r="E196" s="2">
        <v>46295.583449074074</v>
      </c>
      <c r="F196" s="1">
        <v>16500</v>
      </c>
      <c r="G196" s="1" t="s">
        <v>0</v>
      </c>
      <c r="H196" s="1">
        <v>20.7675170898438</v>
      </c>
    </row>
    <row r="197" spans="1:8" ht="14.25" customHeight="1" x14ac:dyDescent="0.2">
      <c r="A197" s="2">
        <v>46295.583495370367</v>
      </c>
      <c r="B197" s="1">
        <v>17000</v>
      </c>
      <c r="C197" s="1" t="s">
        <v>0</v>
      </c>
      <c r="D197" s="1">
        <v>136.22116088867199</v>
      </c>
      <c r="E197" s="2">
        <v>46295.583495370367</v>
      </c>
      <c r="F197" s="1">
        <v>17000</v>
      </c>
      <c r="G197" s="1" t="s">
        <v>0</v>
      </c>
      <c r="H197" s="1">
        <v>20.8476257324219</v>
      </c>
    </row>
    <row r="198" spans="1:8" ht="14.25" customHeight="1" x14ac:dyDescent="0.2">
      <c r="A198" s="2">
        <v>46295.583541666667</v>
      </c>
      <c r="B198" s="1">
        <v>17500</v>
      </c>
      <c r="C198" s="1" t="s">
        <v>0</v>
      </c>
      <c r="D198" s="1">
        <v>136.19857788085901</v>
      </c>
      <c r="E198" s="2">
        <v>46295.583541666667</v>
      </c>
      <c r="F198" s="1">
        <v>17500</v>
      </c>
      <c r="G198" s="1" t="s">
        <v>0</v>
      </c>
      <c r="H198" s="1">
        <v>20.8149719238281</v>
      </c>
    </row>
    <row r="199" spans="1:8" ht="14.25" customHeight="1" x14ac:dyDescent="0.2">
      <c r="A199" s="2">
        <v>46295.583587962959</v>
      </c>
      <c r="B199" s="1">
        <v>18000</v>
      </c>
      <c r="C199" s="1" t="s">
        <v>0</v>
      </c>
      <c r="D199" s="1">
        <v>136.15951538085901</v>
      </c>
      <c r="E199" s="2">
        <v>46295.583587962959</v>
      </c>
      <c r="F199" s="1">
        <v>18000</v>
      </c>
      <c r="G199" s="1" t="s">
        <v>0</v>
      </c>
      <c r="H199" s="1">
        <v>20.9025573730469</v>
      </c>
    </row>
    <row r="200" spans="1:8" ht="14.25" customHeight="1" x14ac:dyDescent="0.2">
      <c r="A200" s="2">
        <v>46295.583634259259</v>
      </c>
      <c r="B200" s="1">
        <v>18500</v>
      </c>
      <c r="C200" s="1" t="s">
        <v>0</v>
      </c>
      <c r="D200" s="1">
        <v>136.173095703125</v>
      </c>
      <c r="E200" s="2">
        <v>46295.583634259259</v>
      </c>
      <c r="F200" s="1">
        <v>18500</v>
      </c>
      <c r="G200" s="1" t="s">
        <v>0</v>
      </c>
      <c r="H200" s="1">
        <v>21.1195373535156</v>
      </c>
    </row>
    <row r="201" spans="1:8" ht="14.25" customHeight="1" x14ac:dyDescent="0.2">
      <c r="A201" s="2">
        <v>46295.583680555559</v>
      </c>
      <c r="B201" s="1">
        <v>19000</v>
      </c>
      <c r="C201" s="1" t="s">
        <v>0</v>
      </c>
      <c r="D201" s="1">
        <v>136.17004394531301</v>
      </c>
      <c r="E201" s="2">
        <v>46295.583680555559</v>
      </c>
      <c r="F201" s="1">
        <v>19000</v>
      </c>
      <c r="G201" s="1" t="s">
        <v>0</v>
      </c>
      <c r="H201" s="1">
        <v>21.483154296875</v>
      </c>
    </row>
    <row r="202" spans="1:8" ht="14.25" customHeight="1" x14ac:dyDescent="0.2">
      <c r="A202" s="2">
        <v>46295.583726851852</v>
      </c>
      <c r="B202" s="1">
        <v>19500</v>
      </c>
      <c r="C202" s="1" t="s">
        <v>0</v>
      </c>
      <c r="D202" s="1">
        <v>136.22253417968801</v>
      </c>
      <c r="E202" s="2">
        <v>46295.583726851852</v>
      </c>
      <c r="F202" s="1">
        <v>19500</v>
      </c>
      <c r="G202" s="1" t="s">
        <v>0</v>
      </c>
      <c r="H202" s="1">
        <v>21.4476013183594</v>
      </c>
    </row>
    <row r="203" spans="1:8" ht="14.25" customHeight="1" x14ac:dyDescent="0.2">
      <c r="A203" s="2">
        <v>46295.583773148152</v>
      </c>
      <c r="B203" s="1">
        <v>20000</v>
      </c>
      <c r="C203" s="1" t="s">
        <v>0</v>
      </c>
      <c r="D203" s="1">
        <v>136.20285034179699</v>
      </c>
      <c r="E203" s="2">
        <v>46295.583773148152</v>
      </c>
      <c r="F203" s="1">
        <v>20000</v>
      </c>
      <c r="G203" s="1" t="s">
        <v>0</v>
      </c>
      <c r="H203" s="1">
        <v>21.52099609375</v>
      </c>
    </row>
    <row r="204" spans="1:8" ht="14.2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4.25" customHeight="1" x14ac:dyDescent="0.2">
      <c r="A205" s="2">
        <v>46295.592314814814</v>
      </c>
      <c r="B205" s="1">
        <v>20000</v>
      </c>
      <c r="C205" s="1" t="s">
        <v>0</v>
      </c>
      <c r="D205" s="1">
        <v>136.70730590820301</v>
      </c>
      <c r="E205" s="2">
        <v>46295.592314814814</v>
      </c>
      <c r="F205" s="1">
        <v>20000</v>
      </c>
      <c r="G205" s="1" t="s">
        <v>0</v>
      </c>
      <c r="H205" s="1">
        <v>19.4049072265625</v>
      </c>
    </row>
    <row r="206" spans="1:8" ht="14.25" customHeight="1" x14ac:dyDescent="0.2">
      <c r="A206" s="2">
        <v>46295.592361111114</v>
      </c>
      <c r="B206" s="1">
        <v>19500</v>
      </c>
      <c r="C206" s="1" t="s">
        <v>0</v>
      </c>
      <c r="D206" s="1">
        <v>136.689453125</v>
      </c>
      <c r="E206" s="2">
        <v>46295.592361111114</v>
      </c>
      <c r="F206" s="1">
        <v>19500</v>
      </c>
      <c r="G206" s="1" t="s">
        <v>0</v>
      </c>
      <c r="H206" s="1">
        <v>19.5115661621094</v>
      </c>
    </row>
    <row r="207" spans="1:8" ht="14.25" customHeight="1" x14ac:dyDescent="0.2">
      <c r="A207" s="2">
        <v>46295.592407407406</v>
      </c>
      <c r="B207" s="1">
        <v>19000</v>
      </c>
      <c r="C207" s="1" t="s">
        <v>0</v>
      </c>
      <c r="D207" s="1">
        <v>136.72348022460901</v>
      </c>
      <c r="E207" s="2">
        <v>46295.592407407406</v>
      </c>
      <c r="F207" s="1">
        <v>19000</v>
      </c>
      <c r="G207" s="1" t="s">
        <v>0</v>
      </c>
      <c r="H207" s="1">
        <v>19.4987487792969</v>
      </c>
    </row>
    <row r="208" spans="1:8" ht="14.25" customHeight="1" x14ac:dyDescent="0.2">
      <c r="A208" s="2">
        <v>46295.592453703706</v>
      </c>
      <c r="B208" s="1">
        <v>18500</v>
      </c>
      <c r="C208" s="1" t="s">
        <v>0</v>
      </c>
      <c r="D208" s="1">
        <v>136.72500610351599</v>
      </c>
      <c r="E208" s="2">
        <v>46295.592453703706</v>
      </c>
      <c r="F208" s="1">
        <v>18500</v>
      </c>
      <c r="G208" s="1" t="s">
        <v>0</v>
      </c>
      <c r="H208" s="1">
        <v>19.5098876953125</v>
      </c>
    </row>
    <row r="209" spans="1:8" ht="14.25" customHeight="1" x14ac:dyDescent="0.2">
      <c r="A209" s="2">
        <v>46295.592499999999</v>
      </c>
      <c r="B209" s="1">
        <v>18000</v>
      </c>
      <c r="C209" s="1" t="s">
        <v>0</v>
      </c>
      <c r="D209" s="1">
        <v>136.73782348632801</v>
      </c>
      <c r="E209" s="2">
        <v>46295.592499999999</v>
      </c>
      <c r="F209" s="1">
        <v>18000</v>
      </c>
      <c r="G209" s="1" t="s">
        <v>0</v>
      </c>
      <c r="H209" s="1">
        <v>19.6110534667969</v>
      </c>
    </row>
    <row r="210" spans="1:8" ht="14.25" customHeight="1" x14ac:dyDescent="0.2">
      <c r="A210" s="2">
        <v>46295.592546296299</v>
      </c>
      <c r="B210" s="1">
        <v>17500</v>
      </c>
      <c r="C210" s="1" t="s">
        <v>0</v>
      </c>
      <c r="D210" s="1">
        <v>136.70974731445301</v>
      </c>
      <c r="E210" s="2">
        <v>46295.592546296299</v>
      </c>
      <c r="F210" s="1">
        <v>17500</v>
      </c>
      <c r="G210" s="1" t="s">
        <v>0</v>
      </c>
      <c r="H210" s="1">
        <v>19.0023803710938</v>
      </c>
    </row>
    <row r="211" spans="1:8" ht="14.25" customHeight="1" x14ac:dyDescent="0.2">
      <c r="A211" s="2">
        <v>46295.592592592591</v>
      </c>
      <c r="B211" s="1">
        <v>17000</v>
      </c>
      <c r="C211" s="1" t="s">
        <v>0</v>
      </c>
      <c r="D211" s="1">
        <v>136.76116943359401</v>
      </c>
      <c r="E211" s="2">
        <v>46295.592592592591</v>
      </c>
      <c r="F211" s="1">
        <v>17000</v>
      </c>
      <c r="G211" s="1" t="s">
        <v>0</v>
      </c>
      <c r="H211" s="1">
        <v>19.439697265625</v>
      </c>
    </row>
    <row r="212" spans="1:8" ht="14.25" customHeight="1" x14ac:dyDescent="0.2">
      <c r="A212" s="2">
        <v>46295.592638888891</v>
      </c>
      <c r="B212" s="1">
        <v>16500</v>
      </c>
      <c r="C212" s="1" t="s">
        <v>0</v>
      </c>
      <c r="D212" s="1">
        <v>136.73904418945301</v>
      </c>
      <c r="E212" s="2">
        <v>46295.592638888891</v>
      </c>
      <c r="F212" s="1">
        <v>16500</v>
      </c>
      <c r="G212" s="1" t="s">
        <v>0</v>
      </c>
      <c r="H212" s="1">
        <v>19.6345520019531</v>
      </c>
    </row>
    <row r="213" spans="1:8" ht="14.25" customHeight="1" x14ac:dyDescent="0.2">
      <c r="A213" s="2">
        <v>46295.592685185184</v>
      </c>
      <c r="B213" s="1">
        <v>16000</v>
      </c>
      <c r="C213" s="1" t="s">
        <v>0</v>
      </c>
      <c r="D213" s="1">
        <v>136.73065185546901</v>
      </c>
      <c r="E213" s="2">
        <v>46295.592685185184</v>
      </c>
      <c r="F213" s="1">
        <v>16000</v>
      </c>
      <c r="G213" s="1" t="s">
        <v>0</v>
      </c>
      <c r="H213" s="1">
        <v>19.4168090820313</v>
      </c>
    </row>
    <row r="214" spans="1:8" ht="14.25" customHeight="1" x14ac:dyDescent="0.2">
      <c r="A214" s="2">
        <v>46295.592731481483</v>
      </c>
      <c r="B214" s="1">
        <v>15500</v>
      </c>
      <c r="C214" s="1" t="s">
        <v>0</v>
      </c>
      <c r="D214" s="1">
        <v>136.7236328125</v>
      </c>
      <c r="E214" s="2">
        <v>46295.592731481483</v>
      </c>
      <c r="F214" s="1">
        <v>15500</v>
      </c>
      <c r="G214" s="1" t="s">
        <v>0</v>
      </c>
      <c r="H214" s="1">
        <v>18.8494873046875</v>
      </c>
    </row>
    <row r="215" spans="1:8" ht="14.25" customHeight="1" x14ac:dyDescent="0.2">
      <c r="A215" s="2">
        <v>46295.592777777776</v>
      </c>
      <c r="B215" s="1">
        <v>15000</v>
      </c>
      <c r="C215" s="1" t="s">
        <v>0</v>
      </c>
      <c r="D215" s="1">
        <v>136.74835205078099</v>
      </c>
      <c r="E215" s="2">
        <v>46295.592777777776</v>
      </c>
      <c r="F215" s="1">
        <v>15000</v>
      </c>
      <c r="G215" s="1" t="s">
        <v>0</v>
      </c>
      <c r="H215" s="1">
        <v>18.9584350585938</v>
      </c>
    </row>
    <row r="216" spans="1:8" ht="14.25" customHeight="1" x14ac:dyDescent="0.2">
      <c r="A216" s="2">
        <v>46295.592824074076</v>
      </c>
      <c r="B216" s="1">
        <v>14500</v>
      </c>
      <c r="C216" s="1" t="s">
        <v>0</v>
      </c>
      <c r="D216" s="1">
        <v>136.73843383789099</v>
      </c>
      <c r="E216" s="2">
        <v>46295.592824074076</v>
      </c>
      <c r="F216" s="1">
        <v>14500</v>
      </c>
      <c r="G216" s="1" t="s">
        <v>0</v>
      </c>
      <c r="H216" s="1">
        <v>17.9013061523438</v>
      </c>
    </row>
    <row r="217" spans="1:8" ht="14.25" customHeight="1" x14ac:dyDescent="0.2">
      <c r="A217" s="2">
        <v>46295.592870370368</v>
      </c>
      <c r="B217" s="1">
        <v>14000</v>
      </c>
      <c r="C217" s="1" t="s">
        <v>0</v>
      </c>
      <c r="D217" s="1">
        <v>136.79351806640599</v>
      </c>
      <c r="E217" s="2">
        <v>46295.592870370368</v>
      </c>
      <c r="F217" s="1">
        <v>14000</v>
      </c>
      <c r="G217" s="1" t="s">
        <v>0</v>
      </c>
      <c r="H217" s="1">
        <v>18.238525390625</v>
      </c>
    </row>
    <row r="218" spans="1:8" ht="14.25" customHeight="1" x14ac:dyDescent="0.2">
      <c r="A218" s="2">
        <v>46295.592916666668</v>
      </c>
      <c r="B218" s="1">
        <v>13500</v>
      </c>
      <c r="C218" s="1" t="s">
        <v>0</v>
      </c>
      <c r="D218" s="1">
        <v>136.77688598632801</v>
      </c>
      <c r="E218" s="2">
        <v>46295.592916666668</v>
      </c>
      <c r="F218" s="1">
        <v>13500</v>
      </c>
      <c r="G218" s="1" t="s">
        <v>0</v>
      </c>
      <c r="H218" s="1">
        <v>18.353271484375</v>
      </c>
    </row>
    <row r="219" spans="1:8" ht="14.25" customHeight="1" x14ac:dyDescent="0.2">
      <c r="A219" s="2">
        <v>46295.592962962961</v>
      </c>
      <c r="B219" s="1">
        <v>13000</v>
      </c>
      <c r="C219" s="1" t="s">
        <v>0</v>
      </c>
      <c r="D219" s="1">
        <v>136.76651000976599</v>
      </c>
      <c r="E219" s="2">
        <v>46295.592962962961</v>
      </c>
      <c r="F219" s="1">
        <v>13000</v>
      </c>
      <c r="G219" s="1" t="s">
        <v>0</v>
      </c>
      <c r="H219" s="1">
        <v>17.1421813964844</v>
      </c>
    </row>
    <row r="220" spans="1:8" ht="14.25" customHeight="1" x14ac:dyDescent="0.2">
      <c r="A220" s="2">
        <v>46295.593009259261</v>
      </c>
      <c r="B220" s="1">
        <v>12500</v>
      </c>
      <c r="C220" s="1" t="s">
        <v>0</v>
      </c>
      <c r="D220" s="1">
        <v>136.74133300781301</v>
      </c>
      <c r="E220" s="2">
        <v>46295.593009259261</v>
      </c>
      <c r="F220" s="1">
        <v>12500</v>
      </c>
      <c r="G220" s="1" t="s">
        <v>0</v>
      </c>
      <c r="H220" s="1">
        <v>17.8158569335938</v>
      </c>
    </row>
    <row r="221" spans="1:8" ht="14.25" customHeight="1" x14ac:dyDescent="0.2">
      <c r="A221" s="2">
        <v>46295.593055555553</v>
      </c>
      <c r="B221" s="1">
        <v>12000</v>
      </c>
      <c r="C221" s="1" t="s">
        <v>0</v>
      </c>
      <c r="D221" s="1">
        <v>136.7626953125</v>
      </c>
      <c r="E221" s="2">
        <v>46295.593055555553</v>
      </c>
      <c r="F221" s="1">
        <v>12000</v>
      </c>
      <c r="G221" s="1" t="s">
        <v>0</v>
      </c>
      <c r="H221" s="1">
        <v>17.9873657226563</v>
      </c>
    </row>
    <row r="222" spans="1:8" ht="14.25" customHeight="1" x14ac:dyDescent="0.2">
      <c r="A222" s="2">
        <v>46295.593101851853</v>
      </c>
      <c r="B222" s="1">
        <v>11500</v>
      </c>
      <c r="C222" s="1" t="s">
        <v>0</v>
      </c>
      <c r="D222" s="1">
        <v>136.75460815429699</v>
      </c>
      <c r="E222" s="2">
        <v>46295.593101851853</v>
      </c>
      <c r="F222" s="1">
        <v>11500</v>
      </c>
      <c r="G222" s="1" t="s">
        <v>0</v>
      </c>
      <c r="H222" s="1">
        <v>17.0407104492188</v>
      </c>
    </row>
    <row r="223" spans="1:8" ht="14.25" customHeight="1" x14ac:dyDescent="0.2">
      <c r="A223" s="2">
        <v>46295.593148148146</v>
      </c>
      <c r="B223" s="1">
        <v>11000</v>
      </c>
      <c r="C223" s="1" t="s">
        <v>0</v>
      </c>
      <c r="D223" s="1">
        <v>136.76193237304699</v>
      </c>
      <c r="E223" s="2">
        <v>46295.593148148146</v>
      </c>
      <c r="F223" s="1">
        <v>11000</v>
      </c>
      <c r="G223" s="1" t="s">
        <v>0</v>
      </c>
      <c r="H223" s="1">
        <v>17.0893859863281</v>
      </c>
    </row>
    <row r="224" spans="1:8" ht="14.25" customHeight="1" x14ac:dyDescent="0.2">
      <c r="A224" s="2">
        <v>46295.593194444446</v>
      </c>
      <c r="B224" s="1">
        <v>10500</v>
      </c>
      <c r="C224" s="1" t="s">
        <v>0</v>
      </c>
      <c r="D224" s="1">
        <v>136.77337646484401</v>
      </c>
      <c r="E224" s="2">
        <v>46295.593194444446</v>
      </c>
      <c r="F224" s="1">
        <v>10500</v>
      </c>
      <c r="G224" s="1" t="s">
        <v>0</v>
      </c>
      <c r="H224" s="1">
        <v>17.0121765136719</v>
      </c>
    </row>
    <row r="225" spans="1:8" ht="14.25" customHeight="1" x14ac:dyDescent="0.2">
      <c r="A225" s="2">
        <v>46295.593240740738</v>
      </c>
      <c r="B225" s="1">
        <v>10000</v>
      </c>
      <c r="C225" s="1" t="s">
        <v>0</v>
      </c>
      <c r="D225" s="1">
        <v>136.80007934570301</v>
      </c>
      <c r="E225" s="2">
        <v>46295.593240740738</v>
      </c>
      <c r="F225" s="1">
        <v>10000</v>
      </c>
      <c r="G225" s="1" t="s">
        <v>0</v>
      </c>
      <c r="H225" s="1">
        <v>16.6606140136719</v>
      </c>
    </row>
    <row r="226" spans="1:8" ht="14.25" customHeight="1" x14ac:dyDescent="0.2">
      <c r="A226" s="2">
        <v>46295.593287037038</v>
      </c>
      <c r="B226" s="1">
        <v>9500</v>
      </c>
      <c r="C226" s="1" t="s">
        <v>0</v>
      </c>
      <c r="D226" s="1">
        <v>136.81991577148401</v>
      </c>
      <c r="E226" s="2">
        <v>46295.593287037038</v>
      </c>
      <c r="F226" s="1">
        <v>9500</v>
      </c>
      <c r="G226" s="1" t="s">
        <v>0</v>
      </c>
      <c r="H226" s="1">
        <v>15.9913635253906</v>
      </c>
    </row>
    <row r="227" spans="1:8" ht="14.25" customHeight="1" x14ac:dyDescent="0.2">
      <c r="A227" s="2">
        <v>46295.593333333331</v>
      </c>
      <c r="B227" s="1">
        <v>9000</v>
      </c>
      <c r="C227" s="1" t="s">
        <v>0</v>
      </c>
      <c r="D227" s="1">
        <v>136.80969238281301</v>
      </c>
      <c r="E227" s="2">
        <v>46295.593333333331</v>
      </c>
      <c r="F227" s="1">
        <v>9000</v>
      </c>
      <c r="G227" s="1" t="s">
        <v>0</v>
      </c>
      <c r="H227" s="1">
        <v>17.6611328125</v>
      </c>
    </row>
    <row r="228" spans="1:8" ht="14.25" customHeight="1" x14ac:dyDescent="0.2">
      <c r="A228" s="2">
        <v>46295.59337962963</v>
      </c>
      <c r="B228" s="1">
        <v>8500</v>
      </c>
      <c r="C228" s="1" t="s">
        <v>0</v>
      </c>
      <c r="D228" s="1">
        <v>136.82540893554699</v>
      </c>
      <c r="E228" s="2">
        <v>46295.59337962963</v>
      </c>
      <c r="F228" s="1">
        <v>8500</v>
      </c>
      <c r="G228" s="1" t="s">
        <v>0</v>
      </c>
      <c r="H228" s="1">
        <v>15.4957580566406</v>
      </c>
    </row>
    <row r="229" spans="1:8" ht="14.25" customHeight="1" x14ac:dyDescent="0.2">
      <c r="A229" s="2">
        <v>46295.593425925923</v>
      </c>
      <c r="B229" s="1">
        <v>8000</v>
      </c>
      <c r="C229" s="1" t="s">
        <v>0</v>
      </c>
      <c r="D229" s="1">
        <v>136.84020996093801</v>
      </c>
      <c r="E229" s="2">
        <v>46295.593425925923</v>
      </c>
      <c r="F229" s="1">
        <v>8000</v>
      </c>
      <c r="G229" s="1" t="s">
        <v>0</v>
      </c>
      <c r="H229" s="1">
        <v>15.4443359375</v>
      </c>
    </row>
    <row r="230" spans="1:8" ht="14.25" customHeight="1" x14ac:dyDescent="0.2">
      <c r="A230" s="2">
        <v>46295.593472222223</v>
      </c>
      <c r="B230" s="1">
        <v>7500</v>
      </c>
      <c r="C230" s="1" t="s">
        <v>0</v>
      </c>
      <c r="D230" s="1">
        <v>136.81579589843801</v>
      </c>
      <c r="E230" s="2">
        <v>46295.593472222223</v>
      </c>
      <c r="F230" s="1">
        <v>7500</v>
      </c>
      <c r="G230" s="1" t="s">
        <v>0</v>
      </c>
      <c r="H230" s="1">
        <v>15.1577758789063</v>
      </c>
    </row>
    <row r="231" spans="1:8" ht="14.25" customHeight="1" x14ac:dyDescent="0.2">
      <c r="A231" s="2">
        <v>46295.593518518515</v>
      </c>
      <c r="B231" s="1">
        <v>7000</v>
      </c>
      <c r="C231" s="1" t="s">
        <v>0</v>
      </c>
      <c r="D231" s="1">
        <v>136.878662109375</v>
      </c>
      <c r="E231" s="2">
        <v>46295.593518518515</v>
      </c>
      <c r="F231" s="1">
        <v>7000</v>
      </c>
      <c r="G231" s="1" t="s">
        <v>0</v>
      </c>
      <c r="H231" s="1">
        <v>14.7148132324219</v>
      </c>
    </row>
    <row r="232" spans="1:8" ht="14.25" customHeight="1" x14ac:dyDescent="0.2">
      <c r="A232" s="2">
        <v>46295.593564814815</v>
      </c>
      <c r="B232" s="1">
        <v>6500</v>
      </c>
      <c r="C232" s="1" t="s">
        <v>0</v>
      </c>
      <c r="D232" s="1">
        <v>136.85089111328099</v>
      </c>
      <c r="E232" s="2">
        <v>46295.593564814815</v>
      </c>
      <c r="F232" s="1">
        <v>6500</v>
      </c>
      <c r="G232" s="1" t="s">
        <v>0</v>
      </c>
      <c r="H232" s="1">
        <v>14.437255859375</v>
      </c>
    </row>
    <row r="233" spans="1:8" ht="14.25" customHeight="1" x14ac:dyDescent="0.2">
      <c r="A233" s="2">
        <v>46295.593611111108</v>
      </c>
      <c r="B233" s="1">
        <v>6000</v>
      </c>
      <c r="C233" s="1" t="s">
        <v>0</v>
      </c>
      <c r="D233" s="1">
        <v>136.88385009765599</v>
      </c>
      <c r="E233" s="2">
        <v>46295.593611111108</v>
      </c>
      <c r="F233" s="1">
        <v>6000</v>
      </c>
      <c r="G233" s="1" t="s">
        <v>0</v>
      </c>
      <c r="H233" s="1">
        <v>14.3687438964844</v>
      </c>
    </row>
    <row r="234" spans="1:8" ht="14.25" customHeight="1" x14ac:dyDescent="0.2">
      <c r="A234" s="2">
        <v>46295.593657407408</v>
      </c>
      <c r="B234" s="1">
        <v>5500</v>
      </c>
      <c r="C234" s="1" t="s">
        <v>0</v>
      </c>
      <c r="D234" s="1">
        <v>136.88873291015599</v>
      </c>
      <c r="E234" s="2">
        <v>46295.593657407408</v>
      </c>
      <c r="F234" s="1">
        <v>5500</v>
      </c>
      <c r="G234" s="1" t="s">
        <v>0</v>
      </c>
      <c r="H234" s="1">
        <v>13.8101196289063</v>
      </c>
    </row>
    <row r="235" spans="1:8" ht="14.25" customHeight="1" x14ac:dyDescent="0.2">
      <c r="A235" s="2">
        <v>46295.5937037037</v>
      </c>
      <c r="B235" s="1">
        <v>5000</v>
      </c>
      <c r="C235" s="1" t="s">
        <v>0</v>
      </c>
      <c r="D235" s="1">
        <v>136.93130493164099</v>
      </c>
      <c r="E235" s="2">
        <v>46295.5937037037</v>
      </c>
      <c r="F235" s="1">
        <v>5000</v>
      </c>
      <c r="G235" s="1" t="s">
        <v>0</v>
      </c>
      <c r="H235" s="1">
        <v>14.2803955078125</v>
      </c>
    </row>
    <row r="236" spans="1:8" ht="14.25" customHeight="1" x14ac:dyDescent="0.2">
      <c r="A236" s="2">
        <v>46295.59375</v>
      </c>
      <c r="B236" s="1">
        <v>4500</v>
      </c>
      <c r="C236" s="1" t="s">
        <v>0</v>
      </c>
      <c r="D236" s="1">
        <v>136.94595336914099</v>
      </c>
      <c r="E236" s="2">
        <v>46295.59375</v>
      </c>
      <c r="F236" s="1">
        <v>4500</v>
      </c>
      <c r="G236" s="1" t="s">
        <v>0</v>
      </c>
      <c r="H236" s="1">
        <v>13.72314453125</v>
      </c>
    </row>
    <row r="237" spans="1:8" ht="14.25" customHeight="1" x14ac:dyDescent="0.2">
      <c r="A237" s="2">
        <v>46295.5937962963</v>
      </c>
      <c r="B237" s="1">
        <v>4000</v>
      </c>
      <c r="C237" s="1" t="s">
        <v>0</v>
      </c>
      <c r="D237" s="1">
        <v>136.93954467773401</v>
      </c>
      <c r="E237" s="2">
        <v>46295.5937962963</v>
      </c>
      <c r="F237" s="1">
        <v>4000</v>
      </c>
      <c r="G237" s="1" t="s">
        <v>0</v>
      </c>
      <c r="H237" s="1">
        <v>15.3060913085938</v>
      </c>
    </row>
    <row r="238" spans="1:8" ht="14.25" customHeight="1" x14ac:dyDescent="0.2">
      <c r="A238" s="2">
        <v>46295.593842592592</v>
      </c>
      <c r="B238" s="1">
        <v>3500</v>
      </c>
      <c r="C238" s="1" t="s">
        <v>0</v>
      </c>
      <c r="D238" s="1">
        <v>136.91955566406301</v>
      </c>
      <c r="E238" s="2">
        <v>46295.593842592592</v>
      </c>
      <c r="F238" s="1">
        <v>3500</v>
      </c>
      <c r="G238" s="1" t="s">
        <v>0</v>
      </c>
      <c r="H238" s="1">
        <v>12.9934692382813</v>
      </c>
    </row>
    <row r="239" spans="1:8" ht="14.25" customHeight="1" x14ac:dyDescent="0.2">
      <c r="A239" s="2">
        <v>46295.593888888892</v>
      </c>
      <c r="B239" s="1">
        <v>3000</v>
      </c>
      <c r="C239" s="1" t="s">
        <v>0</v>
      </c>
      <c r="D239" s="1">
        <v>136.88934326171901</v>
      </c>
      <c r="E239" s="2">
        <v>46295.593888888892</v>
      </c>
      <c r="F239" s="1">
        <v>3000</v>
      </c>
      <c r="G239" s="1" t="s">
        <v>0</v>
      </c>
      <c r="H239" s="1">
        <v>12.4478149414063</v>
      </c>
    </row>
    <row r="240" spans="1:8" ht="14.25" customHeight="1" x14ac:dyDescent="0.2">
      <c r="A240" s="2">
        <v>46295.593935185185</v>
      </c>
      <c r="B240" s="1">
        <v>2500</v>
      </c>
      <c r="C240" s="1" t="s">
        <v>0</v>
      </c>
      <c r="D240" s="1">
        <v>136.88781738281301</v>
      </c>
      <c r="E240" s="2">
        <v>46295.593935185185</v>
      </c>
      <c r="F240" s="1">
        <v>2500</v>
      </c>
      <c r="G240" s="1" t="s">
        <v>0</v>
      </c>
      <c r="H240" s="1">
        <v>10.1577758789063</v>
      </c>
    </row>
    <row r="241" spans="1:8" ht="14.25" customHeight="1" x14ac:dyDescent="0.2">
      <c r="A241" s="2">
        <v>46295.593981481485</v>
      </c>
      <c r="B241" s="1">
        <v>2000</v>
      </c>
      <c r="C241" s="1" t="s">
        <v>0</v>
      </c>
      <c r="D241" s="1">
        <v>136.89346313476599</v>
      </c>
      <c r="E241" s="2">
        <v>46295.593981481485</v>
      </c>
      <c r="F241" s="1">
        <v>2000</v>
      </c>
      <c r="G241" s="1" t="s">
        <v>0</v>
      </c>
      <c r="H241" s="1">
        <v>9.644775390625</v>
      </c>
    </row>
    <row r="242" spans="1:8" ht="14.25" customHeight="1" x14ac:dyDescent="0.2">
      <c r="A242" s="2">
        <v>46295.594027777777</v>
      </c>
      <c r="B242" s="1">
        <v>1500</v>
      </c>
      <c r="C242" s="1" t="s">
        <v>0</v>
      </c>
      <c r="D242" s="1">
        <v>136.932373046875</v>
      </c>
      <c r="E242" s="2">
        <v>46295.594027777777</v>
      </c>
      <c r="F242" s="1">
        <v>1500</v>
      </c>
      <c r="G242" s="1" t="s">
        <v>0</v>
      </c>
      <c r="H242" s="1">
        <v>9.4517517089843803</v>
      </c>
    </row>
    <row r="243" spans="1:8" ht="14.25" customHeight="1" x14ac:dyDescent="0.2">
      <c r="A243" s="2">
        <v>46295.594074074077</v>
      </c>
      <c r="B243" s="1">
        <v>1000</v>
      </c>
      <c r="C243" s="1" t="s">
        <v>0</v>
      </c>
      <c r="D243" s="1">
        <v>136.93374633789099</v>
      </c>
      <c r="E243" s="2">
        <v>46295.594074074077</v>
      </c>
      <c r="F243" s="1">
        <v>1000</v>
      </c>
      <c r="G243" s="1" t="s">
        <v>0</v>
      </c>
      <c r="H243" s="1">
        <v>9.3199157714843803</v>
      </c>
    </row>
    <row r="244" spans="1:8" ht="14.25" customHeight="1" x14ac:dyDescent="0.2">
      <c r="A244" s="2">
        <v>46295.594131944446</v>
      </c>
      <c r="B244" s="1">
        <v>500</v>
      </c>
      <c r="C244" s="1" t="s">
        <v>0</v>
      </c>
      <c r="D244" s="1">
        <v>136.94839477539099</v>
      </c>
      <c r="E244" s="2">
        <v>46295.594131944446</v>
      </c>
      <c r="F244" s="1">
        <v>500</v>
      </c>
      <c r="G244" s="1" t="s">
        <v>0</v>
      </c>
      <c r="H244" s="1">
        <v>9.28955078125</v>
      </c>
    </row>
    <row r="245" spans="1:8" ht="14.25" customHeight="1" x14ac:dyDescent="0.2">
      <c r="A245" s="2">
        <v>46295.594178240739</v>
      </c>
      <c r="B245" s="1">
        <v>0</v>
      </c>
      <c r="C245" s="1" t="s">
        <v>0</v>
      </c>
      <c r="D245" s="1">
        <v>136.932373046875</v>
      </c>
      <c r="E245" s="2">
        <v>46295.594178240739</v>
      </c>
      <c r="F245" s="1">
        <v>0</v>
      </c>
      <c r="G245" s="1" t="s">
        <v>0</v>
      </c>
      <c r="H245" s="1">
        <v>9.20318603515625</v>
      </c>
    </row>
    <row r="246" spans="1:8" ht="14.25" customHeight="1" x14ac:dyDescent="0.2">
      <c r="A246" s="2">
        <v>46295.594224537039</v>
      </c>
      <c r="B246" s="1">
        <v>-500</v>
      </c>
      <c r="C246" s="1" t="s">
        <v>0</v>
      </c>
      <c r="D246" s="1">
        <v>136.93344116210901</v>
      </c>
      <c r="E246" s="2">
        <v>46295.594224537039</v>
      </c>
      <c r="F246" s="1">
        <v>-500</v>
      </c>
      <c r="G246" s="1" t="s">
        <v>0</v>
      </c>
      <c r="H246" s="1">
        <v>9.107666015625</v>
      </c>
    </row>
    <row r="247" spans="1:8" ht="14.25" customHeight="1" x14ac:dyDescent="0.2">
      <c r="A247" s="2">
        <v>46295.594270833331</v>
      </c>
      <c r="B247" s="1">
        <v>-1000</v>
      </c>
      <c r="C247" s="1" t="s">
        <v>0</v>
      </c>
      <c r="D247" s="1">
        <v>136.95358276367199</v>
      </c>
      <c r="E247" s="2">
        <v>46295.594270833331</v>
      </c>
      <c r="F247" s="1">
        <v>-1000</v>
      </c>
      <c r="G247" s="1" t="s">
        <v>0</v>
      </c>
      <c r="H247" s="1">
        <v>8.96575927734375</v>
      </c>
    </row>
    <row r="248" spans="1:8" ht="14.25" customHeight="1" x14ac:dyDescent="0.2">
      <c r="A248" s="2">
        <v>46295.594317129631</v>
      </c>
      <c r="B248" s="1">
        <v>-1500</v>
      </c>
      <c r="C248" s="1" t="s">
        <v>0</v>
      </c>
      <c r="D248" s="1">
        <v>136.94610595703099</v>
      </c>
      <c r="E248" s="2">
        <v>46295.594317129631</v>
      </c>
      <c r="F248" s="1">
        <v>-1500</v>
      </c>
      <c r="G248" s="1" t="s">
        <v>0</v>
      </c>
      <c r="H248" s="1">
        <v>8.8618469238281303</v>
      </c>
    </row>
    <row r="249" spans="1:8" ht="14.25" customHeight="1" x14ac:dyDescent="0.2">
      <c r="A249" s="2">
        <v>46295.594363425924</v>
      </c>
      <c r="B249" s="1">
        <v>-2000</v>
      </c>
      <c r="C249" s="1" t="s">
        <v>0</v>
      </c>
      <c r="D249" s="1">
        <v>136.93588256835901</v>
      </c>
      <c r="E249" s="2">
        <v>46295.594363425924</v>
      </c>
      <c r="F249" s="1">
        <v>-2000</v>
      </c>
      <c r="G249" s="1" t="s">
        <v>0</v>
      </c>
      <c r="H249" s="1">
        <v>8.79302978515625</v>
      </c>
    </row>
    <row r="250" spans="1:8" ht="14.2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4.25" customHeight="1" x14ac:dyDescent="0.2">
      <c r="A251" s="2">
        <v>46295.645520833335</v>
      </c>
      <c r="B251" s="1">
        <v>-2000</v>
      </c>
      <c r="C251" s="1" t="s">
        <v>0</v>
      </c>
      <c r="D251" s="1">
        <v>134.93072509765599</v>
      </c>
      <c r="E251" s="2">
        <v>46295.645520833335</v>
      </c>
      <c r="F251" s="1">
        <v>-2000</v>
      </c>
      <c r="G251" s="1" t="s">
        <v>0</v>
      </c>
      <c r="H251" s="1">
        <v>7.9942321777343803</v>
      </c>
    </row>
    <row r="252" spans="1:8" ht="14.25" customHeight="1" x14ac:dyDescent="0.2">
      <c r="A252" s="2">
        <v>46295.645567129628</v>
      </c>
      <c r="B252" s="1">
        <v>-1500</v>
      </c>
      <c r="C252" s="1" t="s">
        <v>0</v>
      </c>
      <c r="D252" s="1">
        <v>134.88510131835901</v>
      </c>
      <c r="E252" s="2">
        <v>46295.645567129628</v>
      </c>
      <c r="F252" s="1">
        <v>-1500</v>
      </c>
      <c r="G252" s="1" t="s">
        <v>0</v>
      </c>
      <c r="H252" s="1">
        <v>7.8385925292968803</v>
      </c>
    </row>
    <row r="253" spans="1:8" ht="14.25" customHeight="1" x14ac:dyDescent="0.2">
      <c r="A253" s="2">
        <v>46295.645613425928</v>
      </c>
      <c r="B253" s="1">
        <v>-1000</v>
      </c>
      <c r="C253" s="1" t="s">
        <v>0</v>
      </c>
      <c r="D253" s="1">
        <v>134.88250732421901</v>
      </c>
      <c r="E253" s="2">
        <v>46295.645613425928</v>
      </c>
      <c r="F253" s="1">
        <v>-1000</v>
      </c>
      <c r="G253" s="1" t="s">
        <v>0</v>
      </c>
      <c r="H253" s="1">
        <v>7.9832458496093803</v>
      </c>
    </row>
    <row r="254" spans="1:8" ht="14.25" customHeight="1" x14ac:dyDescent="0.2">
      <c r="A254" s="2">
        <v>46295.64565972222</v>
      </c>
      <c r="B254" s="1">
        <v>-500</v>
      </c>
      <c r="C254" s="1" t="s">
        <v>0</v>
      </c>
      <c r="D254" s="1">
        <v>134.92996215820301</v>
      </c>
      <c r="E254" s="2">
        <v>46295.64565972222</v>
      </c>
      <c r="F254" s="1">
        <v>-500</v>
      </c>
      <c r="G254" s="1" t="s">
        <v>0</v>
      </c>
      <c r="H254" s="1">
        <v>7.7162170410156303</v>
      </c>
    </row>
    <row r="255" spans="1:8" ht="14.25" customHeight="1" x14ac:dyDescent="0.2">
      <c r="A255" s="2">
        <v>46295.64570601852</v>
      </c>
      <c r="B255" s="1">
        <v>0</v>
      </c>
      <c r="C255" s="1" t="s">
        <v>0</v>
      </c>
      <c r="D255" s="1">
        <v>134.95758056640599</v>
      </c>
      <c r="E255" s="2">
        <v>46295.64570601852</v>
      </c>
      <c r="F255" s="1">
        <v>0</v>
      </c>
      <c r="G255" s="1" t="s">
        <v>0</v>
      </c>
      <c r="H255" s="1">
        <v>7.5950622558593803</v>
      </c>
    </row>
    <row r="256" spans="1:8" ht="14.25" customHeight="1" x14ac:dyDescent="0.2">
      <c r="A256" s="2">
        <v>46295.64576388889</v>
      </c>
      <c r="B256" s="1">
        <v>500</v>
      </c>
      <c r="C256" s="1" t="s">
        <v>0</v>
      </c>
      <c r="D256" s="1">
        <v>134.93957519531301</v>
      </c>
      <c r="E256" s="2">
        <v>46295.64576388889</v>
      </c>
      <c r="F256" s="1">
        <v>500</v>
      </c>
      <c r="G256" s="1" t="s">
        <v>0</v>
      </c>
      <c r="H256" s="1">
        <v>7.43927001953125</v>
      </c>
    </row>
    <row r="257" spans="1:8" ht="14.25" customHeight="1" x14ac:dyDescent="0.2">
      <c r="A257" s="2">
        <v>46295.645798611113</v>
      </c>
      <c r="B257" s="1">
        <v>1000</v>
      </c>
      <c r="C257" s="1" t="s">
        <v>0</v>
      </c>
      <c r="D257" s="1">
        <v>134.95162963867199</v>
      </c>
      <c r="E257" s="2">
        <v>46295.645798611113</v>
      </c>
      <c r="F257" s="1">
        <v>1000</v>
      </c>
      <c r="G257" s="1" t="s">
        <v>0</v>
      </c>
      <c r="H257" s="1">
        <v>7.7104187011718803</v>
      </c>
    </row>
    <row r="258" spans="1:8" ht="14.25" customHeight="1" x14ac:dyDescent="0.2">
      <c r="A258" s="2">
        <v>46295.645856481482</v>
      </c>
      <c r="B258" s="1">
        <v>1500</v>
      </c>
      <c r="C258" s="1" t="s">
        <v>0</v>
      </c>
      <c r="D258" s="1">
        <v>134.923095703125</v>
      </c>
      <c r="E258" s="2">
        <v>46295.645856481482</v>
      </c>
      <c r="F258" s="1">
        <v>1500</v>
      </c>
      <c r="G258" s="1" t="s">
        <v>0</v>
      </c>
      <c r="H258" s="1">
        <v>7.8547668457031303</v>
      </c>
    </row>
    <row r="259" spans="1:8" ht="14.25" customHeight="1" x14ac:dyDescent="0.2">
      <c r="A259" s="2">
        <v>46295.645902777775</v>
      </c>
      <c r="B259" s="1">
        <v>2000</v>
      </c>
      <c r="C259" s="1" t="s">
        <v>0</v>
      </c>
      <c r="D259" s="1">
        <v>134.96490478515599</v>
      </c>
      <c r="E259" s="2">
        <v>46295.645902777775</v>
      </c>
      <c r="F259" s="1">
        <v>2000</v>
      </c>
      <c r="G259" s="1" t="s">
        <v>0</v>
      </c>
      <c r="H259" s="1">
        <v>7.7423095703125</v>
      </c>
    </row>
    <row r="260" spans="1:8" ht="14.25" customHeight="1" x14ac:dyDescent="0.2">
      <c r="A260" s="2">
        <v>46295.645949074074</v>
      </c>
      <c r="B260" s="1">
        <v>2500</v>
      </c>
      <c r="C260" s="1" t="s">
        <v>0</v>
      </c>
      <c r="D260" s="1">
        <v>134.95315551757801</v>
      </c>
      <c r="E260" s="2">
        <v>46295.645949074074</v>
      </c>
      <c r="F260" s="1">
        <v>2500</v>
      </c>
      <c r="G260" s="1" t="s">
        <v>0</v>
      </c>
      <c r="H260" s="1">
        <v>7.8065490722656303</v>
      </c>
    </row>
    <row r="261" spans="1:8" ht="14.25" customHeight="1" x14ac:dyDescent="0.2">
      <c r="A261" s="2">
        <v>46295.645995370367</v>
      </c>
      <c r="B261" s="1">
        <v>3000</v>
      </c>
      <c r="C261" s="1" t="s">
        <v>0</v>
      </c>
      <c r="D261" s="1">
        <v>134.95300292968801</v>
      </c>
      <c r="E261" s="2">
        <v>46295.645995370367</v>
      </c>
      <c r="F261" s="1">
        <v>3000</v>
      </c>
      <c r="G261" s="1" t="s">
        <v>0</v>
      </c>
      <c r="H261" s="1">
        <v>7.87445068359375</v>
      </c>
    </row>
    <row r="262" spans="1:8" ht="14.25" customHeight="1" x14ac:dyDescent="0.2">
      <c r="A262" s="2">
        <v>46295.646041666667</v>
      </c>
      <c r="B262" s="1">
        <v>3500</v>
      </c>
      <c r="C262" s="1" t="s">
        <v>0</v>
      </c>
      <c r="D262" s="1">
        <v>134.94537353515599</v>
      </c>
      <c r="E262" s="2">
        <v>46295.646041666667</v>
      </c>
      <c r="F262" s="1">
        <v>3500</v>
      </c>
      <c r="G262" s="1" t="s">
        <v>0</v>
      </c>
      <c r="H262" s="1">
        <v>9.9711608886718803</v>
      </c>
    </row>
    <row r="263" spans="1:8" ht="14.25" customHeight="1" x14ac:dyDescent="0.2">
      <c r="A263" s="2">
        <v>46295.646087962959</v>
      </c>
      <c r="B263" s="1">
        <v>4000</v>
      </c>
      <c r="C263" s="1" t="s">
        <v>0</v>
      </c>
      <c r="D263" s="1">
        <v>134.90325927734401</v>
      </c>
      <c r="E263" s="2">
        <v>46295.646087962959</v>
      </c>
      <c r="F263" s="1">
        <v>4000</v>
      </c>
      <c r="G263" s="1" t="s">
        <v>0</v>
      </c>
      <c r="H263" s="1">
        <v>11.7340087890625</v>
      </c>
    </row>
    <row r="264" spans="1:8" ht="14.25" customHeight="1" x14ac:dyDescent="0.2">
      <c r="A264" s="2">
        <v>46295.646134259259</v>
      </c>
      <c r="B264" s="1">
        <v>4500</v>
      </c>
      <c r="C264" s="1" t="s">
        <v>0</v>
      </c>
      <c r="D264" s="1">
        <v>134.93026733398401</v>
      </c>
      <c r="E264" s="2">
        <v>46295.646134259259</v>
      </c>
      <c r="F264" s="1">
        <v>4500</v>
      </c>
      <c r="G264" s="1" t="s">
        <v>0</v>
      </c>
      <c r="H264" s="1">
        <v>12.4591064453125</v>
      </c>
    </row>
    <row r="265" spans="1:8" ht="14.25" customHeight="1" x14ac:dyDescent="0.2">
      <c r="A265" s="2">
        <v>46295.646180555559</v>
      </c>
      <c r="B265" s="1">
        <v>5000</v>
      </c>
      <c r="C265" s="1" t="s">
        <v>0</v>
      </c>
      <c r="D265" s="1">
        <v>134.88357543945301</v>
      </c>
      <c r="E265" s="2">
        <v>46295.646180555559</v>
      </c>
      <c r="F265" s="1">
        <v>5000</v>
      </c>
      <c r="G265" s="1" t="s">
        <v>0</v>
      </c>
      <c r="H265" s="1">
        <v>13.0805969238281</v>
      </c>
    </row>
    <row r="266" spans="1:8" ht="14.25" customHeight="1" x14ac:dyDescent="0.2">
      <c r="A266" s="2">
        <v>46295.646226851852</v>
      </c>
      <c r="B266" s="1">
        <v>5500</v>
      </c>
      <c r="C266" s="1" t="s">
        <v>0</v>
      </c>
      <c r="D266" s="1">
        <v>134.98260498046901</v>
      </c>
      <c r="E266" s="2">
        <v>46295.646226851852</v>
      </c>
      <c r="F266" s="1">
        <v>5500</v>
      </c>
      <c r="G266" s="1" t="s">
        <v>0</v>
      </c>
      <c r="H266" s="1">
        <v>13.6859130859375</v>
      </c>
    </row>
    <row r="267" spans="1:8" ht="14.25" customHeight="1" x14ac:dyDescent="0.2">
      <c r="A267" s="2">
        <v>46295.646273148152</v>
      </c>
      <c r="B267" s="1">
        <v>6000</v>
      </c>
      <c r="C267" s="1" t="s">
        <v>0</v>
      </c>
      <c r="D267" s="1">
        <v>134.98291015625</v>
      </c>
      <c r="E267" s="2">
        <v>46295.646273148152</v>
      </c>
      <c r="F267" s="1">
        <v>6000</v>
      </c>
      <c r="G267" s="1" t="s">
        <v>0</v>
      </c>
      <c r="H267" s="1">
        <v>14.0972900390625</v>
      </c>
    </row>
    <row r="268" spans="1:8" ht="14.25" customHeight="1" x14ac:dyDescent="0.2">
      <c r="A268" s="2">
        <v>46295.646319444444</v>
      </c>
      <c r="B268" s="1">
        <v>6500</v>
      </c>
      <c r="C268" s="1" t="s">
        <v>0</v>
      </c>
      <c r="D268" s="1">
        <v>134.99435424804699</v>
      </c>
      <c r="E268" s="2">
        <v>46295.646319444444</v>
      </c>
      <c r="F268" s="1">
        <v>6500</v>
      </c>
      <c r="G268" s="1" t="s">
        <v>0</v>
      </c>
      <c r="H268" s="1">
        <v>14.8223876953125</v>
      </c>
    </row>
    <row r="269" spans="1:8" ht="14.25" customHeight="1" x14ac:dyDescent="0.2">
      <c r="A269" s="2">
        <v>46295.646365740744</v>
      </c>
      <c r="B269" s="1">
        <v>7000</v>
      </c>
      <c r="C269" s="1" t="s">
        <v>0</v>
      </c>
      <c r="D269" s="1">
        <v>135.03997802734401</v>
      </c>
      <c r="E269" s="2">
        <v>46295.646365740744</v>
      </c>
      <c r="F269" s="1">
        <v>7000</v>
      </c>
      <c r="G269" s="1" t="s">
        <v>0</v>
      </c>
      <c r="H269" s="1">
        <v>15.2333068847656</v>
      </c>
    </row>
    <row r="270" spans="1:8" ht="14.25" customHeight="1" x14ac:dyDescent="0.2">
      <c r="A270" s="2">
        <v>46295.646412037036</v>
      </c>
      <c r="B270" s="1">
        <v>7500</v>
      </c>
      <c r="C270" s="1" t="s">
        <v>0</v>
      </c>
      <c r="D270" s="1">
        <v>135.06240844726599</v>
      </c>
      <c r="E270" s="2">
        <v>46295.646412037036</v>
      </c>
      <c r="F270" s="1">
        <v>7500</v>
      </c>
      <c r="G270" s="1" t="s">
        <v>0</v>
      </c>
      <c r="H270" s="1">
        <v>15.9214782714844</v>
      </c>
    </row>
    <row r="271" spans="1:8" ht="14.25" customHeight="1" x14ac:dyDescent="0.2">
      <c r="A271" s="2">
        <v>46295.646458333336</v>
      </c>
      <c r="B271" s="1">
        <v>8000</v>
      </c>
      <c r="C271" s="1" t="s">
        <v>0</v>
      </c>
      <c r="D271" s="1">
        <v>135.06500244140599</v>
      </c>
      <c r="E271" s="2">
        <v>46295.646458333336</v>
      </c>
      <c r="F271" s="1">
        <v>8000</v>
      </c>
      <c r="G271" s="1" t="s">
        <v>0</v>
      </c>
      <c r="H271" s="1">
        <v>18.2269287109375</v>
      </c>
    </row>
    <row r="272" spans="1:8" ht="14.25" customHeight="1" x14ac:dyDescent="0.2">
      <c r="A272" s="2">
        <v>46295.646504629629</v>
      </c>
      <c r="B272" s="1">
        <v>8500</v>
      </c>
      <c r="C272" s="1" t="s">
        <v>0</v>
      </c>
      <c r="D272" s="1">
        <v>135.00244140625</v>
      </c>
      <c r="E272" s="2">
        <v>46295.646504629629</v>
      </c>
      <c r="F272" s="1">
        <v>8500</v>
      </c>
      <c r="G272" s="1" t="s">
        <v>0</v>
      </c>
      <c r="H272" s="1">
        <v>16.3214111328125</v>
      </c>
    </row>
    <row r="273" spans="1:8" ht="14.25" customHeight="1" x14ac:dyDescent="0.2">
      <c r="A273" s="2">
        <v>46295.646550925929</v>
      </c>
      <c r="B273" s="1">
        <v>9000</v>
      </c>
      <c r="C273" s="1" t="s">
        <v>0</v>
      </c>
      <c r="D273" s="1">
        <v>135.01815795898401</v>
      </c>
      <c r="E273" s="2">
        <v>46295.646550925929</v>
      </c>
      <c r="F273" s="1">
        <v>9000</v>
      </c>
      <c r="G273" s="1" t="s">
        <v>0</v>
      </c>
      <c r="H273" s="1">
        <v>16.5797424316406</v>
      </c>
    </row>
    <row r="274" spans="1:8" ht="14.25" customHeight="1" x14ac:dyDescent="0.2">
      <c r="A274" s="2">
        <v>46295.646597222221</v>
      </c>
      <c r="B274" s="1">
        <v>9500</v>
      </c>
      <c r="C274" s="1" t="s">
        <v>0</v>
      </c>
      <c r="D274" s="1">
        <v>135.0146484375</v>
      </c>
      <c r="E274" s="2">
        <v>46295.646597222221</v>
      </c>
      <c r="F274" s="1">
        <v>9500</v>
      </c>
      <c r="G274" s="1" t="s">
        <v>0</v>
      </c>
      <c r="H274" s="1">
        <v>14.2703247070313</v>
      </c>
    </row>
    <row r="275" spans="1:8" ht="14.25" customHeight="1" x14ac:dyDescent="0.2">
      <c r="A275" s="2">
        <v>46295.646643518521</v>
      </c>
      <c r="B275" s="1">
        <v>10000</v>
      </c>
      <c r="C275" s="1" t="s">
        <v>0</v>
      </c>
      <c r="D275" s="1">
        <v>134.97879028320301</v>
      </c>
      <c r="E275" s="2">
        <v>46295.646643518521</v>
      </c>
      <c r="F275" s="1">
        <v>10000</v>
      </c>
      <c r="G275" s="1" t="s">
        <v>0</v>
      </c>
      <c r="H275" s="1">
        <v>17.2477722167969</v>
      </c>
    </row>
    <row r="276" spans="1:8" ht="14.25" customHeight="1" x14ac:dyDescent="0.2">
      <c r="A276" s="2">
        <v>46295.646689814814</v>
      </c>
      <c r="B276" s="1">
        <v>10500</v>
      </c>
      <c r="C276" s="1" t="s">
        <v>0</v>
      </c>
      <c r="D276" s="1">
        <v>134.96520996093801</v>
      </c>
      <c r="E276" s="2">
        <v>46295.646689814814</v>
      </c>
      <c r="F276" s="1">
        <v>10500</v>
      </c>
      <c r="G276" s="1" t="s">
        <v>0</v>
      </c>
      <c r="H276" s="1">
        <v>17.6199340820313</v>
      </c>
    </row>
    <row r="277" spans="1:8" ht="14.25" customHeight="1" x14ac:dyDescent="0.2">
      <c r="A277" s="2">
        <v>46295.646736111114</v>
      </c>
      <c r="B277" s="1">
        <v>11000</v>
      </c>
      <c r="C277" s="1" t="s">
        <v>0</v>
      </c>
      <c r="D277" s="1">
        <v>135.04043579101599</v>
      </c>
      <c r="E277" s="2">
        <v>46295.646736111114</v>
      </c>
      <c r="F277" s="1">
        <v>11000</v>
      </c>
      <c r="G277" s="1" t="s">
        <v>0</v>
      </c>
      <c r="H277" s="1">
        <v>17.9714965820313</v>
      </c>
    </row>
    <row r="278" spans="1:8" ht="14.25" customHeight="1" x14ac:dyDescent="0.2">
      <c r="A278" s="2">
        <v>46295.646782407406</v>
      </c>
      <c r="B278" s="1">
        <v>11500</v>
      </c>
      <c r="C278" s="1" t="s">
        <v>0</v>
      </c>
      <c r="D278" s="1">
        <v>135.04333496093801</v>
      </c>
      <c r="E278" s="2">
        <v>46295.646782407406</v>
      </c>
      <c r="F278" s="1">
        <v>11500</v>
      </c>
      <c r="G278" s="1" t="s">
        <v>0</v>
      </c>
      <c r="H278" s="1">
        <v>21.1622619628906</v>
      </c>
    </row>
    <row r="279" spans="1:8" ht="14.25" customHeight="1" x14ac:dyDescent="0.2">
      <c r="A279" s="2">
        <v>46295.646828703706</v>
      </c>
      <c r="B279" s="1">
        <v>12000</v>
      </c>
      <c r="C279" s="1" t="s">
        <v>0</v>
      </c>
      <c r="D279" s="1">
        <v>135.03326416015599</v>
      </c>
      <c r="E279" s="2">
        <v>46295.646828703706</v>
      </c>
      <c r="F279" s="1">
        <v>12000</v>
      </c>
      <c r="G279" s="1" t="s">
        <v>0</v>
      </c>
      <c r="H279" s="1">
        <v>18.1742858886719</v>
      </c>
    </row>
    <row r="280" spans="1:8" ht="14.25" customHeight="1" x14ac:dyDescent="0.2">
      <c r="A280" s="2">
        <v>46295.646874999999</v>
      </c>
      <c r="B280" s="1">
        <v>12500</v>
      </c>
      <c r="C280" s="1" t="s">
        <v>0</v>
      </c>
      <c r="D280" s="1">
        <v>135.04821777343801</v>
      </c>
      <c r="E280" s="2">
        <v>46295.646874999999</v>
      </c>
      <c r="F280" s="1">
        <v>12500</v>
      </c>
      <c r="G280" s="1" t="s">
        <v>0</v>
      </c>
      <c r="H280" s="1">
        <v>18.4457397460938</v>
      </c>
    </row>
    <row r="281" spans="1:8" ht="14.25" customHeight="1" x14ac:dyDescent="0.2">
      <c r="A281" s="2">
        <v>46295.646921296298</v>
      </c>
      <c r="B281" s="1">
        <v>13000</v>
      </c>
      <c r="C281" s="1" t="s">
        <v>0</v>
      </c>
      <c r="D281" s="1">
        <v>135.08697509765599</v>
      </c>
      <c r="E281" s="2">
        <v>46295.646921296298</v>
      </c>
      <c r="F281" s="1">
        <v>13000</v>
      </c>
      <c r="G281" s="1" t="s">
        <v>0</v>
      </c>
      <c r="H281" s="1">
        <v>20.0912475585938</v>
      </c>
    </row>
    <row r="282" spans="1:8" ht="14.25" customHeight="1" x14ac:dyDescent="0.2">
      <c r="A282" s="2">
        <v>46295.646967592591</v>
      </c>
      <c r="B282" s="1">
        <v>13500</v>
      </c>
      <c r="C282" s="1" t="s">
        <v>0</v>
      </c>
      <c r="D282" s="1">
        <v>135.08575439453099</v>
      </c>
      <c r="E282" s="2">
        <v>46295.646967592591</v>
      </c>
      <c r="F282" s="1">
        <v>13500</v>
      </c>
      <c r="G282" s="1" t="s">
        <v>0</v>
      </c>
      <c r="H282" s="1">
        <v>18.3969116210938</v>
      </c>
    </row>
    <row r="283" spans="1:8" ht="14.25" customHeight="1" x14ac:dyDescent="0.2">
      <c r="A283" s="2">
        <v>46295.647013888891</v>
      </c>
      <c r="B283" s="1">
        <v>14000</v>
      </c>
      <c r="C283" s="1" t="s">
        <v>0</v>
      </c>
      <c r="D283" s="1">
        <v>135.06576538085901</v>
      </c>
      <c r="E283" s="2">
        <v>46295.647013888891</v>
      </c>
      <c r="F283" s="1">
        <v>14000</v>
      </c>
      <c r="G283" s="1" t="s">
        <v>0</v>
      </c>
      <c r="H283" s="1">
        <v>18.9109802246094</v>
      </c>
    </row>
    <row r="284" spans="1:8" ht="14.25" customHeight="1" x14ac:dyDescent="0.2">
      <c r="A284" s="2">
        <v>46295.647060185183</v>
      </c>
      <c r="B284" s="1">
        <v>14500</v>
      </c>
      <c r="C284" s="1" t="s">
        <v>0</v>
      </c>
      <c r="D284" s="1">
        <v>135.09185791015599</v>
      </c>
      <c r="E284" s="2">
        <v>46295.647060185183</v>
      </c>
      <c r="F284" s="1">
        <v>14500</v>
      </c>
      <c r="G284" s="1" t="s">
        <v>0</v>
      </c>
      <c r="H284" s="1">
        <v>19.2495727539063</v>
      </c>
    </row>
    <row r="285" spans="1:8" ht="14.25" customHeight="1" x14ac:dyDescent="0.2">
      <c r="A285" s="2">
        <v>46295.647106481483</v>
      </c>
      <c r="B285" s="1">
        <v>15000</v>
      </c>
      <c r="C285" s="1" t="s">
        <v>0</v>
      </c>
      <c r="D285" s="1">
        <v>135.078125</v>
      </c>
      <c r="E285" s="2">
        <v>46295.647106481483</v>
      </c>
      <c r="F285" s="1">
        <v>15000</v>
      </c>
      <c r="G285" s="1" t="s">
        <v>0</v>
      </c>
      <c r="H285" s="1">
        <v>19.1934204101563</v>
      </c>
    </row>
    <row r="286" spans="1:8" ht="14.25" customHeight="1" x14ac:dyDescent="0.2">
      <c r="A286" s="2">
        <v>46295.647152777776</v>
      </c>
      <c r="B286" s="1">
        <v>15500</v>
      </c>
      <c r="C286" s="1" t="s">
        <v>0</v>
      </c>
      <c r="D286" s="1">
        <v>135.06896972656301</v>
      </c>
      <c r="E286" s="2">
        <v>46295.647152777776</v>
      </c>
      <c r="F286" s="1">
        <v>15500</v>
      </c>
      <c r="G286" s="1" t="s">
        <v>0</v>
      </c>
      <c r="H286" s="1">
        <v>19.3220520019531</v>
      </c>
    </row>
    <row r="287" spans="1:8" ht="14.25" customHeight="1" x14ac:dyDescent="0.2">
      <c r="A287" s="2">
        <v>46295.647199074076</v>
      </c>
      <c r="B287" s="1">
        <v>16000</v>
      </c>
      <c r="C287" s="1" t="s">
        <v>0</v>
      </c>
      <c r="D287" s="1">
        <v>135.08819580078099</v>
      </c>
      <c r="E287" s="2">
        <v>46295.647199074076</v>
      </c>
      <c r="F287" s="1">
        <v>16000</v>
      </c>
      <c r="G287" s="1" t="s">
        <v>0</v>
      </c>
      <c r="H287" s="1">
        <v>19.2822265625</v>
      </c>
    </row>
    <row r="288" spans="1:8" ht="14.25" customHeight="1" x14ac:dyDescent="0.2">
      <c r="A288" s="2">
        <v>46295.647245370368</v>
      </c>
      <c r="B288" s="1">
        <v>16500</v>
      </c>
      <c r="C288" s="1" t="s">
        <v>0</v>
      </c>
      <c r="D288" s="1">
        <v>135.06027221679699</v>
      </c>
      <c r="E288" s="2">
        <v>46295.647245370368</v>
      </c>
      <c r="F288" s="1">
        <v>16500</v>
      </c>
      <c r="G288" s="1" t="s">
        <v>0</v>
      </c>
      <c r="H288" s="1">
        <v>20.6690979003906</v>
      </c>
    </row>
    <row r="289" spans="1:8" ht="14.25" customHeight="1" x14ac:dyDescent="0.2">
      <c r="A289" s="2">
        <v>46295.647291666668</v>
      </c>
      <c r="B289" s="1">
        <v>17000</v>
      </c>
      <c r="C289" s="1" t="s">
        <v>0</v>
      </c>
      <c r="D289" s="1">
        <v>135.05126953125</v>
      </c>
      <c r="E289" s="2">
        <v>46295.647291666668</v>
      </c>
      <c r="F289" s="1">
        <v>17000</v>
      </c>
      <c r="G289" s="1" t="s">
        <v>0</v>
      </c>
      <c r="H289" s="1">
        <v>21.2481689453125</v>
      </c>
    </row>
    <row r="290" spans="1:8" ht="14.25" customHeight="1" x14ac:dyDescent="0.2">
      <c r="A290" s="2">
        <v>46295.647337962961</v>
      </c>
      <c r="B290" s="1">
        <v>17500</v>
      </c>
      <c r="C290" s="1" t="s">
        <v>0</v>
      </c>
      <c r="D290" s="1">
        <v>135.05996704101599</v>
      </c>
      <c r="E290" s="2">
        <v>46295.647337962961</v>
      </c>
      <c r="F290" s="1">
        <v>17500</v>
      </c>
      <c r="G290" s="1" t="s">
        <v>0</v>
      </c>
      <c r="H290" s="1">
        <v>19.7894287109375</v>
      </c>
    </row>
    <row r="291" spans="1:8" ht="14.25" customHeight="1" x14ac:dyDescent="0.2">
      <c r="A291" s="2">
        <v>46295.64738425926</v>
      </c>
      <c r="B291" s="1">
        <v>18000</v>
      </c>
      <c r="C291" s="1" t="s">
        <v>0</v>
      </c>
      <c r="D291" s="1">
        <v>135.05813598632801</v>
      </c>
      <c r="E291" s="2">
        <v>46295.64738425926</v>
      </c>
      <c r="F291" s="1">
        <v>18000</v>
      </c>
      <c r="G291" s="1" t="s">
        <v>0</v>
      </c>
      <c r="H291" s="1">
        <v>20.003662109375</v>
      </c>
    </row>
    <row r="292" spans="1:8" ht="14.25" customHeight="1" x14ac:dyDescent="0.2">
      <c r="A292" s="2">
        <v>46295.647430555553</v>
      </c>
      <c r="B292" s="1">
        <v>18500</v>
      </c>
      <c r="C292" s="1" t="s">
        <v>0</v>
      </c>
      <c r="D292" s="1">
        <v>135.09613037109401</v>
      </c>
      <c r="E292" s="2">
        <v>46295.647430555553</v>
      </c>
      <c r="F292" s="1">
        <v>18500</v>
      </c>
      <c r="G292" s="1" t="s">
        <v>0</v>
      </c>
      <c r="H292" s="1">
        <v>19.8121643066406</v>
      </c>
    </row>
    <row r="293" spans="1:8" ht="14.25" customHeight="1" x14ac:dyDescent="0.2">
      <c r="A293" s="2">
        <v>46295.647476851853</v>
      </c>
      <c r="B293" s="1">
        <v>19000</v>
      </c>
      <c r="C293" s="1" t="s">
        <v>0</v>
      </c>
      <c r="D293" s="1">
        <v>135.072021484375</v>
      </c>
      <c r="E293" s="2">
        <v>46295.647476851853</v>
      </c>
      <c r="F293" s="1">
        <v>19000</v>
      </c>
      <c r="G293" s="1" t="s">
        <v>0</v>
      </c>
      <c r="H293" s="1">
        <v>19.8309326171875</v>
      </c>
    </row>
    <row r="294" spans="1:8" ht="14.25" customHeight="1" x14ac:dyDescent="0.2">
      <c r="A294" s="2">
        <v>46295.647523148145</v>
      </c>
      <c r="B294" s="1">
        <v>19500</v>
      </c>
      <c r="C294" s="1" t="s">
        <v>0</v>
      </c>
      <c r="D294" s="1">
        <v>135.09170532226599</v>
      </c>
      <c r="E294" s="2">
        <v>46295.647523148145</v>
      </c>
      <c r="F294" s="1">
        <v>19500</v>
      </c>
      <c r="G294" s="1" t="s">
        <v>0</v>
      </c>
      <c r="H294" s="1">
        <v>20.0094604492188</v>
      </c>
    </row>
    <row r="295" spans="1:8" ht="14.25" customHeight="1" x14ac:dyDescent="0.2">
      <c r="A295" s="2">
        <v>46295.647569444445</v>
      </c>
      <c r="B295" s="1">
        <v>20000</v>
      </c>
      <c r="C295" s="1" t="s">
        <v>0</v>
      </c>
      <c r="D295" s="1">
        <v>135.08239746093801</v>
      </c>
      <c r="E295" s="2">
        <v>46295.647569444445</v>
      </c>
      <c r="F295" s="1">
        <v>20000</v>
      </c>
      <c r="G295" s="1" t="s">
        <v>0</v>
      </c>
      <c r="H295" s="1">
        <v>19.7975158691406</v>
      </c>
    </row>
    <row r="296" spans="1:8" ht="14.2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4.25" customHeight="1" x14ac:dyDescent="0.2">
      <c r="A297" s="2">
        <v>46295.658159722225</v>
      </c>
      <c r="B297" s="1">
        <v>20000</v>
      </c>
      <c r="C297" s="1" t="s">
        <v>0</v>
      </c>
      <c r="D297" s="1">
        <v>134.78851318359401</v>
      </c>
      <c r="E297" s="2">
        <v>46295.658159722225</v>
      </c>
      <c r="F297" s="1">
        <v>20000</v>
      </c>
      <c r="G297" s="1" t="s">
        <v>0</v>
      </c>
      <c r="H297" s="1">
        <v>20.4969787597656</v>
      </c>
    </row>
    <row r="298" spans="1:8" ht="14.25" customHeight="1" x14ac:dyDescent="0.2">
      <c r="A298" s="2">
        <v>46295.658206018517</v>
      </c>
      <c r="B298" s="1">
        <v>19500</v>
      </c>
      <c r="C298" s="1" t="s">
        <v>0</v>
      </c>
      <c r="D298" s="1">
        <v>134.75265502929699</v>
      </c>
      <c r="E298" s="2">
        <v>46295.658206018517</v>
      </c>
      <c r="F298" s="1">
        <v>19500</v>
      </c>
      <c r="G298" s="1" t="s">
        <v>0</v>
      </c>
      <c r="H298" s="1">
        <v>20.5198669433594</v>
      </c>
    </row>
    <row r="299" spans="1:8" ht="14.25" customHeight="1" x14ac:dyDescent="0.2">
      <c r="A299" s="2">
        <v>46295.658252314817</v>
      </c>
      <c r="B299" s="1">
        <v>19000</v>
      </c>
      <c r="C299" s="1" t="s">
        <v>0</v>
      </c>
      <c r="D299" s="1">
        <v>134.793701171875</v>
      </c>
      <c r="E299" s="2">
        <v>46295.658252314817</v>
      </c>
      <c r="F299" s="1">
        <v>19000</v>
      </c>
      <c r="G299" s="1" t="s">
        <v>0</v>
      </c>
      <c r="H299" s="1">
        <v>20.3634643554688</v>
      </c>
    </row>
    <row r="300" spans="1:8" ht="14.25" customHeight="1" x14ac:dyDescent="0.2">
      <c r="A300" s="2">
        <v>46295.65829861111</v>
      </c>
      <c r="B300" s="1">
        <v>18500</v>
      </c>
      <c r="C300" s="1" t="s">
        <v>0</v>
      </c>
      <c r="D300" s="1">
        <v>134.79049682617199</v>
      </c>
      <c r="E300" s="2">
        <v>46295.65829861111</v>
      </c>
      <c r="F300" s="1">
        <v>18500</v>
      </c>
      <c r="G300" s="1" t="s">
        <v>0</v>
      </c>
      <c r="H300" s="1">
        <v>20.3266906738281</v>
      </c>
    </row>
    <row r="301" spans="1:8" ht="14.25" customHeight="1" x14ac:dyDescent="0.2">
      <c r="A301" s="2">
        <v>46295.65834490741</v>
      </c>
      <c r="B301" s="1">
        <v>18000</v>
      </c>
      <c r="C301" s="1" t="s">
        <v>0</v>
      </c>
      <c r="D301" s="1">
        <v>134.79248046875</v>
      </c>
      <c r="E301" s="2">
        <v>46295.65834490741</v>
      </c>
      <c r="F301" s="1">
        <v>18000</v>
      </c>
      <c r="G301" s="1" t="s">
        <v>0</v>
      </c>
      <c r="H301" s="1">
        <v>20.2900695800781</v>
      </c>
    </row>
    <row r="302" spans="1:8" ht="14.25" customHeight="1" x14ac:dyDescent="0.2">
      <c r="A302" s="2">
        <v>46295.658391203702</v>
      </c>
      <c r="B302" s="1">
        <v>17500</v>
      </c>
      <c r="C302" s="1" t="s">
        <v>0</v>
      </c>
      <c r="D302" s="1">
        <v>134.77310180664099</v>
      </c>
      <c r="E302" s="2">
        <v>46295.658391203702</v>
      </c>
      <c r="F302" s="1">
        <v>17500</v>
      </c>
      <c r="G302" s="1" t="s">
        <v>0</v>
      </c>
      <c r="H302" s="1">
        <v>20.2102661132813</v>
      </c>
    </row>
    <row r="303" spans="1:8" ht="14.25" customHeight="1" x14ac:dyDescent="0.2">
      <c r="A303" s="2">
        <v>46295.658437500002</v>
      </c>
      <c r="B303" s="1">
        <v>17000</v>
      </c>
      <c r="C303" s="1" t="s">
        <v>0</v>
      </c>
      <c r="D303" s="1">
        <v>134.79660034179699</v>
      </c>
      <c r="E303" s="2">
        <v>46295.658437500002</v>
      </c>
      <c r="F303" s="1">
        <v>17000</v>
      </c>
      <c r="G303" s="1" t="s">
        <v>0</v>
      </c>
      <c r="H303" s="1">
        <v>20.1582336425781</v>
      </c>
    </row>
    <row r="304" spans="1:8" ht="14.25" customHeight="1" x14ac:dyDescent="0.2">
      <c r="A304" s="2">
        <v>46295.658483796295</v>
      </c>
      <c r="B304" s="1">
        <v>16500</v>
      </c>
      <c r="C304" s="1" t="s">
        <v>0</v>
      </c>
      <c r="D304" s="1">
        <v>134.76043701171901</v>
      </c>
      <c r="E304" s="2">
        <v>46295.658483796295</v>
      </c>
      <c r="F304" s="1">
        <v>16500</v>
      </c>
      <c r="G304" s="1" t="s">
        <v>0</v>
      </c>
      <c r="H304" s="1">
        <v>20.0436401367188</v>
      </c>
    </row>
    <row r="305" spans="1:8" ht="14.25" customHeight="1" x14ac:dyDescent="0.2">
      <c r="A305" s="2">
        <v>46295.658541666664</v>
      </c>
      <c r="B305" s="1">
        <v>16000</v>
      </c>
      <c r="C305" s="1" t="s">
        <v>0</v>
      </c>
      <c r="D305" s="1">
        <v>134.81842041015599</v>
      </c>
      <c r="E305" s="2">
        <v>46295.658541666664</v>
      </c>
      <c r="F305" s="1">
        <v>16000</v>
      </c>
      <c r="G305" s="1" t="s">
        <v>0</v>
      </c>
      <c r="H305" s="1">
        <v>19.9298095703125</v>
      </c>
    </row>
    <row r="306" spans="1:8" ht="14.25" customHeight="1" x14ac:dyDescent="0.2">
      <c r="A306" s="2">
        <v>46295.658587962964</v>
      </c>
      <c r="B306" s="1">
        <v>15500</v>
      </c>
      <c r="C306" s="1" t="s">
        <v>0</v>
      </c>
      <c r="D306" s="1">
        <v>134.80117797851599</v>
      </c>
      <c r="E306" s="2">
        <v>46295.658587962964</v>
      </c>
      <c r="F306" s="1">
        <v>15500</v>
      </c>
      <c r="G306" s="1" t="s">
        <v>0</v>
      </c>
      <c r="H306" s="1">
        <v>19.8457336425781</v>
      </c>
    </row>
    <row r="307" spans="1:8" ht="14.25" customHeight="1" x14ac:dyDescent="0.2">
      <c r="A307" s="2">
        <v>46295.658634259256</v>
      </c>
      <c r="B307" s="1">
        <v>15000</v>
      </c>
      <c r="C307" s="1" t="s">
        <v>0</v>
      </c>
      <c r="D307" s="1">
        <v>134.78775024414099</v>
      </c>
      <c r="E307" s="2">
        <v>46295.658634259256</v>
      </c>
      <c r="F307" s="1">
        <v>15000</v>
      </c>
      <c r="G307" s="1" t="s">
        <v>0</v>
      </c>
      <c r="H307" s="1">
        <v>19.73876953125</v>
      </c>
    </row>
    <row r="308" spans="1:8" ht="14.25" customHeight="1" x14ac:dyDescent="0.2">
      <c r="A308" s="2">
        <v>46295.658680555556</v>
      </c>
      <c r="B308" s="1">
        <v>14500</v>
      </c>
      <c r="C308" s="1" t="s">
        <v>0</v>
      </c>
      <c r="D308" s="1">
        <v>134.77691650390599</v>
      </c>
      <c r="E308" s="2">
        <v>46295.658680555556</v>
      </c>
      <c r="F308" s="1">
        <v>14500</v>
      </c>
      <c r="G308" s="1" t="s">
        <v>0</v>
      </c>
      <c r="H308" s="1">
        <v>19.6453857421875</v>
      </c>
    </row>
    <row r="309" spans="1:8" ht="14.25" customHeight="1" x14ac:dyDescent="0.2">
      <c r="A309" s="2">
        <v>46295.658726851849</v>
      </c>
      <c r="B309" s="1">
        <v>14000</v>
      </c>
      <c r="C309" s="1" t="s">
        <v>0</v>
      </c>
      <c r="D309" s="1">
        <v>134.80728149414099</v>
      </c>
      <c r="E309" s="2">
        <v>46295.658726851849</v>
      </c>
      <c r="F309" s="1">
        <v>14000</v>
      </c>
      <c r="G309" s="1" t="s">
        <v>0</v>
      </c>
      <c r="H309" s="1">
        <v>19.5350646972656</v>
      </c>
    </row>
    <row r="310" spans="1:8" ht="14.25" customHeight="1" x14ac:dyDescent="0.2">
      <c r="A310" s="2">
        <v>46295.658773148149</v>
      </c>
      <c r="B310" s="1">
        <v>13500</v>
      </c>
      <c r="C310" s="1" t="s">
        <v>0</v>
      </c>
      <c r="D310" s="1">
        <v>134.8095703125</v>
      </c>
      <c r="E310" s="2">
        <v>46295.658773148149</v>
      </c>
      <c r="F310" s="1">
        <v>13500</v>
      </c>
      <c r="G310" s="1" t="s">
        <v>0</v>
      </c>
      <c r="H310" s="1">
        <v>19.3670654296875</v>
      </c>
    </row>
    <row r="311" spans="1:8" ht="14.25" customHeight="1" x14ac:dyDescent="0.2">
      <c r="A311" s="2">
        <v>46295.658819444441</v>
      </c>
      <c r="B311" s="1">
        <v>13000</v>
      </c>
      <c r="C311" s="1" t="s">
        <v>0</v>
      </c>
      <c r="D311" s="1">
        <v>134.77783203125</v>
      </c>
      <c r="E311" s="2">
        <v>46295.658819444441</v>
      </c>
      <c r="F311" s="1">
        <v>13000</v>
      </c>
      <c r="G311" s="1" t="s">
        <v>0</v>
      </c>
      <c r="H311" s="1">
        <v>19.1703796386719</v>
      </c>
    </row>
    <row r="312" spans="1:8" ht="14.25" customHeight="1" x14ac:dyDescent="0.2">
      <c r="A312" s="2">
        <v>46295.658865740741</v>
      </c>
      <c r="B312" s="1">
        <v>12500</v>
      </c>
      <c r="C312" s="1" t="s">
        <v>0</v>
      </c>
      <c r="D312" s="1">
        <v>134.7705078125</v>
      </c>
      <c r="E312" s="2">
        <v>46295.658865740741</v>
      </c>
      <c r="F312" s="1">
        <v>12500</v>
      </c>
      <c r="G312" s="1" t="s">
        <v>0</v>
      </c>
      <c r="H312" s="1">
        <v>18.97705078125</v>
      </c>
    </row>
    <row r="313" spans="1:8" ht="14.25" customHeight="1" x14ac:dyDescent="0.2">
      <c r="A313" s="2">
        <v>46295.658912037034</v>
      </c>
      <c r="B313" s="1">
        <v>12000</v>
      </c>
      <c r="C313" s="1" t="s">
        <v>0</v>
      </c>
      <c r="D313" s="1">
        <v>134.77859497070301</v>
      </c>
      <c r="E313" s="2">
        <v>46295.658912037034</v>
      </c>
      <c r="F313" s="1">
        <v>12000</v>
      </c>
      <c r="G313" s="1" t="s">
        <v>0</v>
      </c>
      <c r="H313" s="1">
        <v>18.7579345703125</v>
      </c>
    </row>
    <row r="314" spans="1:8" ht="14.25" customHeight="1" x14ac:dyDescent="0.2">
      <c r="A314" s="2">
        <v>46295.658958333333</v>
      </c>
      <c r="B314" s="1">
        <v>11500</v>
      </c>
      <c r="C314" s="1" t="s">
        <v>0</v>
      </c>
      <c r="D314" s="1">
        <v>134.8388671875</v>
      </c>
      <c r="E314" s="2">
        <v>46295.658958333333</v>
      </c>
      <c r="F314" s="1">
        <v>11500</v>
      </c>
      <c r="G314" s="1" t="s">
        <v>0</v>
      </c>
      <c r="H314" s="1">
        <v>18.5153198242188</v>
      </c>
    </row>
    <row r="315" spans="1:8" ht="14.25" customHeight="1" x14ac:dyDescent="0.2">
      <c r="A315" s="2">
        <v>46295.659004629626</v>
      </c>
      <c r="B315" s="1">
        <v>11000</v>
      </c>
      <c r="C315" s="1" t="s">
        <v>0</v>
      </c>
      <c r="D315" s="1">
        <v>134.83001708984401</v>
      </c>
      <c r="E315" s="2">
        <v>46295.659004629626</v>
      </c>
      <c r="F315" s="1">
        <v>11000</v>
      </c>
      <c r="G315" s="1" t="s">
        <v>0</v>
      </c>
      <c r="H315" s="1">
        <v>18.1877136230469</v>
      </c>
    </row>
    <row r="316" spans="1:8" ht="14.25" customHeight="1" x14ac:dyDescent="0.2">
      <c r="A316" s="2">
        <v>46295.659050925926</v>
      </c>
      <c r="B316" s="1">
        <v>10500</v>
      </c>
      <c r="C316" s="1" t="s">
        <v>0</v>
      </c>
      <c r="D316" s="1">
        <v>134.82070922851599</v>
      </c>
      <c r="E316" s="2">
        <v>46295.659050925926</v>
      </c>
      <c r="F316" s="1">
        <v>10500</v>
      </c>
      <c r="G316" s="1" t="s">
        <v>0</v>
      </c>
      <c r="H316" s="1">
        <v>17.8512573242188</v>
      </c>
    </row>
    <row r="317" spans="1:8" ht="14.25" customHeight="1" x14ac:dyDescent="0.2">
      <c r="A317" s="2">
        <v>46295.659097222226</v>
      </c>
      <c r="B317" s="1">
        <v>10000</v>
      </c>
      <c r="C317" s="1" t="s">
        <v>0</v>
      </c>
      <c r="D317" s="1">
        <v>134.83779907226599</v>
      </c>
      <c r="E317" s="2">
        <v>46295.659097222226</v>
      </c>
      <c r="F317" s="1">
        <v>10000</v>
      </c>
      <c r="G317" s="1" t="s">
        <v>0</v>
      </c>
      <c r="H317" s="1">
        <v>17.5558471679688</v>
      </c>
    </row>
    <row r="318" spans="1:8" ht="14.25" customHeight="1" x14ac:dyDescent="0.2">
      <c r="A318" s="2">
        <v>46295.659143518518</v>
      </c>
      <c r="B318" s="1">
        <v>9500</v>
      </c>
      <c r="C318" s="1" t="s">
        <v>0</v>
      </c>
      <c r="D318" s="1">
        <v>134.85122680664099</v>
      </c>
      <c r="E318" s="2">
        <v>46295.659143518518</v>
      </c>
      <c r="F318" s="1">
        <v>9500</v>
      </c>
      <c r="G318" s="1" t="s">
        <v>0</v>
      </c>
      <c r="H318" s="1">
        <v>17.2578430175781</v>
      </c>
    </row>
    <row r="319" spans="1:8" ht="14.25" customHeight="1" x14ac:dyDescent="0.2">
      <c r="A319" s="2">
        <v>46295.659189814818</v>
      </c>
      <c r="B319" s="1">
        <v>9000</v>
      </c>
      <c r="C319" s="1" t="s">
        <v>0</v>
      </c>
      <c r="D319" s="1">
        <v>134.876708984375</v>
      </c>
      <c r="E319" s="2">
        <v>46295.659189814818</v>
      </c>
      <c r="F319" s="1">
        <v>9000</v>
      </c>
      <c r="G319" s="1" t="s">
        <v>0</v>
      </c>
      <c r="H319" s="1">
        <v>16.859130859375</v>
      </c>
    </row>
    <row r="320" spans="1:8" ht="14.25" customHeight="1" x14ac:dyDescent="0.2">
      <c r="A320" s="2">
        <v>46295.659236111111</v>
      </c>
      <c r="B320" s="1">
        <v>8500</v>
      </c>
      <c r="C320" s="1" t="s">
        <v>0</v>
      </c>
      <c r="D320" s="1">
        <v>134.86709594726599</v>
      </c>
      <c r="E320" s="2">
        <v>46295.659236111111</v>
      </c>
      <c r="F320" s="1">
        <v>8500</v>
      </c>
      <c r="G320" s="1" t="s">
        <v>0</v>
      </c>
      <c r="H320" s="1">
        <v>16.3705444335938</v>
      </c>
    </row>
    <row r="321" spans="1:8" ht="14.25" customHeight="1" x14ac:dyDescent="0.2">
      <c r="A321" s="2">
        <v>46295.659282407411</v>
      </c>
      <c r="B321" s="1">
        <v>8000</v>
      </c>
      <c r="C321" s="1" t="s">
        <v>0</v>
      </c>
      <c r="D321" s="1">
        <v>134.81750488281301</v>
      </c>
      <c r="E321" s="2">
        <v>46295.659282407411</v>
      </c>
      <c r="F321" s="1">
        <v>8000</v>
      </c>
      <c r="G321" s="1" t="s">
        <v>0</v>
      </c>
      <c r="H321" s="1">
        <v>15.8895874023438</v>
      </c>
    </row>
    <row r="322" spans="1:8" ht="14.25" customHeight="1" x14ac:dyDescent="0.2">
      <c r="A322" s="2">
        <v>46295.659328703703</v>
      </c>
      <c r="B322" s="1">
        <v>7500</v>
      </c>
      <c r="C322" s="1" t="s">
        <v>0</v>
      </c>
      <c r="D322" s="1">
        <v>134.864501953125</v>
      </c>
      <c r="E322" s="2">
        <v>46295.659328703703</v>
      </c>
      <c r="F322" s="1">
        <v>7500</v>
      </c>
      <c r="G322" s="1" t="s">
        <v>0</v>
      </c>
      <c r="H322" s="1">
        <v>15.3138732910156</v>
      </c>
    </row>
    <row r="323" spans="1:8" ht="14.25" customHeight="1" x14ac:dyDescent="0.2">
      <c r="A323" s="2">
        <v>46295.659375000003</v>
      </c>
      <c r="B323" s="1">
        <v>7000</v>
      </c>
      <c r="C323" s="1" t="s">
        <v>0</v>
      </c>
      <c r="D323" s="1">
        <v>134.89822387695301</v>
      </c>
      <c r="E323" s="2">
        <v>46295.659375000003</v>
      </c>
      <c r="F323" s="1">
        <v>7000</v>
      </c>
      <c r="G323" s="1" t="s">
        <v>0</v>
      </c>
      <c r="H323" s="1">
        <v>14.6353149414063</v>
      </c>
    </row>
    <row r="324" spans="1:8" ht="14.25" customHeight="1" x14ac:dyDescent="0.2">
      <c r="A324" s="2">
        <v>46295.659421296295</v>
      </c>
      <c r="B324" s="1">
        <v>6500</v>
      </c>
      <c r="C324" s="1" t="s">
        <v>0</v>
      </c>
      <c r="D324" s="1">
        <v>134.90753173828099</v>
      </c>
      <c r="E324" s="2">
        <v>46295.659421296295</v>
      </c>
      <c r="F324" s="1">
        <v>6500</v>
      </c>
      <c r="G324" s="1" t="s">
        <v>0</v>
      </c>
      <c r="H324" s="1">
        <v>13.7832641601563</v>
      </c>
    </row>
    <row r="325" spans="1:8" ht="14.25" customHeight="1" x14ac:dyDescent="0.2">
      <c r="A325" s="2">
        <v>46295.659467592595</v>
      </c>
      <c r="B325" s="1">
        <v>6000</v>
      </c>
      <c r="C325" s="1" t="s">
        <v>0</v>
      </c>
      <c r="D325" s="1">
        <v>134.87503051757801</v>
      </c>
      <c r="E325" s="2">
        <v>46295.659467592595</v>
      </c>
      <c r="F325" s="1">
        <v>6000</v>
      </c>
      <c r="G325" s="1" t="s">
        <v>0</v>
      </c>
      <c r="H325" s="1">
        <v>12.9428100585938</v>
      </c>
    </row>
    <row r="326" spans="1:8" ht="14.25" customHeight="1" x14ac:dyDescent="0.2">
      <c r="A326" s="2">
        <v>46295.659513888888</v>
      </c>
      <c r="B326" s="1">
        <v>5500</v>
      </c>
      <c r="C326" s="1" t="s">
        <v>0</v>
      </c>
      <c r="D326" s="1">
        <v>134.91165161132801</v>
      </c>
      <c r="E326" s="2">
        <v>46295.659513888888</v>
      </c>
      <c r="F326" s="1">
        <v>5500</v>
      </c>
      <c r="G326" s="1" t="s">
        <v>0</v>
      </c>
      <c r="H326" s="1">
        <v>12.1109008789063</v>
      </c>
    </row>
    <row r="327" spans="1:8" ht="14.25" customHeight="1" x14ac:dyDescent="0.2">
      <c r="A327" s="2">
        <v>46295.659560185188</v>
      </c>
      <c r="B327" s="1">
        <v>5000</v>
      </c>
      <c r="C327" s="1" t="s">
        <v>0</v>
      </c>
      <c r="D327" s="1">
        <v>134.87091064453099</v>
      </c>
      <c r="E327" s="2">
        <v>46295.659560185188</v>
      </c>
      <c r="F327" s="1">
        <v>5000</v>
      </c>
      <c r="G327" s="1" t="s">
        <v>0</v>
      </c>
      <c r="H327" s="1">
        <v>11.3316345214844</v>
      </c>
    </row>
    <row r="328" spans="1:8" ht="14.25" customHeight="1" x14ac:dyDescent="0.2">
      <c r="A328" s="2">
        <v>46295.65960648148</v>
      </c>
      <c r="B328" s="1">
        <v>4500</v>
      </c>
      <c r="C328" s="1" t="s">
        <v>0</v>
      </c>
      <c r="D328" s="1">
        <v>134.864501953125</v>
      </c>
      <c r="E328" s="2">
        <v>46295.65960648148</v>
      </c>
      <c r="F328" s="1">
        <v>4500</v>
      </c>
      <c r="G328" s="1" t="s">
        <v>0</v>
      </c>
      <c r="H328" s="1">
        <v>10.4786682128906</v>
      </c>
    </row>
    <row r="329" spans="1:8" ht="14.25" customHeight="1" x14ac:dyDescent="0.2">
      <c r="A329" s="2">
        <v>46295.65965277778</v>
      </c>
      <c r="B329" s="1">
        <v>4000</v>
      </c>
      <c r="C329" s="1" t="s">
        <v>0</v>
      </c>
      <c r="D329" s="1">
        <v>134.88555908203099</v>
      </c>
      <c r="E329" s="2">
        <v>46295.65965277778</v>
      </c>
      <c r="F329" s="1">
        <v>4000</v>
      </c>
      <c r="G329" s="1" t="s">
        <v>0</v>
      </c>
      <c r="H329" s="1">
        <v>9.41864013671875</v>
      </c>
    </row>
    <row r="330" spans="1:8" ht="14.25" customHeight="1" x14ac:dyDescent="0.2">
      <c r="A330" s="2">
        <v>46295.659699074073</v>
      </c>
      <c r="B330" s="1">
        <v>3500</v>
      </c>
      <c r="C330" s="1" t="s">
        <v>0</v>
      </c>
      <c r="D330" s="1">
        <v>134.89196777343801</v>
      </c>
      <c r="E330" s="2">
        <v>46295.659699074073</v>
      </c>
      <c r="F330" s="1">
        <v>3500</v>
      </c>
      <c r="G330" s="1" t="s">
        <v>0</v>
      </c>
      <c r="H330" s="1">
        <v>8.0303955078125</v>
      </c>
    </row>
    <row r="331" spans="1:8" ht="14.25" customHeight="1" x14ac:dyDescent="0.2">
      <c r="A331" s="2">
        <v>46295.659745370373</v>
      </c>
      <c r="B331" s="1">
        <v>3000</v>
      </c>
      <c r="C331" s="1" t="s">
        <v>0</v>
      </c>
      <c r="D331" s="1">
        <v>134.85015869140599</v>
      </c>
      <c r="E331" s="2">
        <v>46295.659745370373</v>
      </c>
      <c r="F331" s="1">
        <v>3000</v>
      </c>
      <c r="G331" s="1" t="s">
        <v>0</v>
      </c>
      <c r="H331" s="1">
        <v>7.7143859863281303</v>
      </c>
    </row>
    <row r="332" spans="1:8" ht="14.25" customHeight="1" x14ac:dyDescent="0.2">
      <c r="A332" s="2">
        <v>46295.659791666665</v>
      </c>
      <c r="B332" s="1">
        <v>2500</v>
      </c>
      <c r="C332" s="1" t="s">
        <v>0</v>
      </c>
      <c r="D332" s="1">
        <v>134.886474609375</v>
      </c>
      <c r="E332" s="2">
        <v>46295.659791666665</v>
      </c>
      <c r="F332" s="1">
        <v>2500</v>
      </c>
      <c r="G332" s="1" t="s">
        <v>0</v>
      </c>
      <c r="H332" s="1">
        <v>7.669677734375</v>
      </c>
    </row>
    <row r="333" spans="1:8" ht="14.25" customHeight="1" x14ac:dyDescent="0.2">
      <c r="A333" s="2">
        <v>46295.659837962965</v>
      </c>
      <c r="B333" s="1">
        <v>2000</v>
      </c>
      <c r="C333" s="1" t="s">
        <v>0</v>
      </c>
      <c r="D333" s="1">
        <v>134.87564086914099</v>
      </c>
      <c r="E333" s="2">
        <v>46295.659837962965</v>
      </c>
      <c r="F333" s="1">
        <v>2000</v>
      </c>
      <c r="G333" s="1" t="s">
        <v>0</v>
      </c>
      <c r="H333" s="1">
        <v>7.5120544433593803</v>
      </c>
    </row>
    <row r="334" spans="1:8" ht="14.25" customHeight="1" x14ac:dyDescent="0.2">
      <c r="A334" s="2">
        <v>46295.659884259258</v>
      </c>
      <c r="B334" s="1">
        <v>1500</v>
      </c>
      <c r="C334" s="1" t="s">
        <v>0</v>
      </c>
      <c r="D334" s="1">
        <v>134.88876342773401</v>
      </c>
      <c r="E334" s="2">
        <v>46295.659884259258</v>
      </c>
      <c r="F334" s="1">
        <v>1500</v>
      </c>
      <c r="G334" s="1" t="s">
        <v>0</v>
      </c>
      <c r="H334" s="1">
        <v>7.46063232421875</v>
      </c>
    </row>
    <row r="335" spans="1:8" ht="14.25" customHeight="1" x14ac:dyDescent="0.2">
      <c r="A335" s="2">
        <v>46295.659930555557</v>
      </c>
      <c r="B335" s="1">
        <v>1000</v>
      </c>
      <c r="C335" s="1" t="s">
        <v>0</v>
      </c>
      <c r="D335" s="1">
        <v>134.87899780273401</v>
      </c>
      <c r="E335" s="2">
        <v>46295.659930555557</v>
      </c>
      <c r="F335" s="1">
        <v>1000</v>
      </c>
      <c r="G335" s="1" t="s">
        <v>0</v>
      </c>
      <c r="H335" s="1">
        <v>7.44415283203125</v>
      </c>
    </row>
    <row r="336" spans="1:8" ht="14.25" customHeight="1" x14ac:dyDescent="0.2">
      <c r="A336" s="2">
        <v>46295.65997685185</v>
      </c>
      <c r="B336" s="1">
        <v>500</v>
      </c>
      <c r="C336" s="1" t="s">
        <v>0</v>
      </c>
      <c r="D336" s="1">
        <v>134.91134643554699</v>
      </c>
      <c r="E336" s="2">
        <v>46295.65997685185</v>
      </c>
      <c r="F336" s="1">
        <v>500</v>
      </c>
      <c r="G336" s="1" t="s">
        <v>0</v>
      </c>
      <c r="H336" s="1">
        <v>7.5840759277343803</v>
      </c>
    </row>
    <row r="337" spans="1:8" ht="14.25" customHeight="1" x14ac:dyDescent="0.2">
      <c r="A337" s="2">
        <v>46295.66002314815</v>
      </c>
      <c r="B337" s="1">
        <v>0</v>
      </c>
      <c r="C337" s="1" t="s">
        <v>0</v>
      </c>
      <c r="D337" s="1">
        <v>134.90310668945301</v>
      </c>
      <c r="E337" s="2">
        <v>46295.66002314815</v>
      </c>
      <c r="F337" s="1">
        <v>0</v>
      </c>
      <c r="G337" s="1" t="s">
        <v>0</v>
      </c>
      <c r="H337" s="1">
        <v>7.50396728515625</v>
      </c>
    </row>
    <row r="338" spans="1:8" ht="14.25" customHeight="1" x14ac:dyDescent="0.2">
      <c r="A338" s="2">
        <v>46295.660069444442</v>
      </c>
      <c r="B338" s="1">
        <v>-500</v>
      </c>
      <c r="C338" s="1" t="s">
        <v>0</v>
      </c>
      <c r="D338" s="1">
        <v>134.93133544921901</v>
      </c>
      <c r="E338" s="2">
        <v>46295.660069444442</v>
      </c>
      <c r="F338" s="1">
        <v>-500</v>
      </c>
      <c r="G338" s="1" t="s">
        <v>0</v>
      </c>
      <c r="H338" s="1">
        <v>7.6689147949218803</v>
      </c>
    </row>
    <row r="339" spans="1:8" ht="14.25" customHeight="1" x14ac:dyDescent="0.2">
      <c r="A339" s="2">
        <v>46295.660115740742</v>
      </c>
      <c r="B339" s="1">
        <v>-1000</v>
      </c>
      <c r="C339" s="1" t="s">
        <v>0</v>
      </c>
      <c r="D339" s="1">
        <v>134.97802734375</v>
      </c>
      <c r="E339" s="2">
        <v>46295.660115740742</v>
      </c>
      <c r="F339" s="1">
        <v>-1000</v>
      </c>
      <c r="G339" s="1" t="s">
        <v>0</v>
      </c>
      <c r="H339" s="1">
        <v>7.6043701171875</v>
      </c>
    </row>
    <row r="340" spans="1:8" ht="14.25" customHeight="1" x14ac:dyDescent="0.2">
      <c r="A340" s="2">
        <v>46295.660162037035</v>
      </c>
      <c r="B340" s="1">
        <v>-1500</v>
      </c>
      <c r="C340" s="1" t="s">
        <v>0</v>
      </c>
      <c r="D340" s="1">
        <v>134.99618530273401</v>
      </c>
      <c r="E340" s="2">
        <v>46295.660162037035</v>
      </c>
      <c r="F340" s="1">
        <v>-1500</v>
      </c>
      <c r="G340" s="1" t="s">
        <v>0</v>
      </c>
      <c r="H340" s="1">
        <v>7.70538330078125</v>
      </c>
    </row>
    <row r="341" spans="1:8" ht="14.25" customHeight="1" x14ac:dyDescent="0.2">
      <c r="A341" s="2">
        <v>46295.660208333335</v>
      </c>
      <c r="B341" s="1">
        <v>-2000</v>
      </c>
      <c r="C341" s="1" t="s">
        <v>0</v>
      </c>
      <c r="D341" s="1">
        <v>134.95422363281301</v>
      </c>
      <c r="E341" s="2">
        <v>46295.660208333335</v>
      </c>
      <c r="F341" s="1">
        <v>-2000</v>
      </c>
      <c r="G341" s="1" t="s">
        <v>0</v>
      </c>
      <c r="H341" s="1">
        <v>7.686767578125</v>
      </c>
    </row>
    <row r="342" spans="1:8" ht="14.2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4.25" customHeight="1" x14ac:dyDescent="0.2">
      <c r="A343" s="2">
        <v>46295.66097222222</v>
      </c>
      <c r="B343" s="1">
        <v>20000</v>
      </c>
      <c r="C343" s="1" t="s">
        <v>0</v>
      </c>
      <c r="D343" s="1">
        <v>135.12985229492199</v>
      </c>
      <c r="E343" s="2">
        <v>46295.66097222222</v>
      </c>
      <c r="F343" s="1">
        <v>20000</v>
      </c>
      <c r="G343" s="1" t="s">
        <v>0</v>
      </c>
      <c r="H343" s="1">
        <v>21.0316467285156</v>
      </c>
    </row>
    <row r="344" spans="1:8" ht="14.25" customHeight="1" x14ac:dyDescent="0.2">
      <c r="A344" s="2">
        <v>46295.66101851852</v>
      </c>
      <c r="B344" s="1">
        <v>19500</v>
      </c>
      <c r="C344" s="1" t="s">
        <v>0</v>
      </c>
      <c r="D344" s="1">
        <v>135.15518188476599</v>
      </c>
      <c r="E344" s="2">
        <v>46295.66101851852</v>
      </c>
      <c r="F344" s="1">
        <v>19500</v>
      </c>
      <c r="G344" s="1" t="s">
        <v>0</v>
      </c>
      <c r="H344" s="1">
        <v>20.1441955566406</v>
      </c>
    </row>
    <row r="345" spans="1:8" ht="14.25" customHeight="1" x14ac:dyDescent="0.2">
      <c r="A345" s="2">
        <v>46295.661064814813</v>
      </c>
      <c r="B345" s="1">
        <v>19000</v>
      </c>
      <c r="C345" s="1" t="s">
        <v>0</v>
      </c>
      <c r="D345" s="1">
        <v>135.12557983398401</v>
      </c>
      <c r="E345" s="2">
        <v>46295.661064814813</v>
      </c>
      <c r="F345" s="1">
        <v>19000</v>
      </c>
      <c r="G345" s="1" t="s">
        <v>0</v>
      </c>
      <c r="H345" s="1">
        <v>20.1414489746094</v>
      </c>
    </row>
    <row r="346" spans="1:8" ht="14.25" customHeight="1" x14ac:dyDescent="0.2">
      <c r="A346" s="2">
        <v>46295.661111111112</v>
      </c>
      <c r="B346" s="1">
        <v>18500</v>
      </c>
      <c r="C346" s="1" t="s">
        <v>0</v>
      </c>
      <c r="D346" s="1">
        <v>135.14404296875</v>
      </c>
      <c r="E346" s="2">
        <v>46295.661111111112</v>
      </c>
      <c r="F346" s="1">
        <v>18500</v>
      </c>
      <c r="G346" s="1" t="s">
        <v>0</v>
      </c>
      <c r="H346" s="1">
        <v>20.0701904296875</v>
      </c>
    </row>
    <row r="347" spans="1:8" ht="14.25" customHeight="1" x14ac:dyDescent="0.2">
      <c r="A347" s="2">
        <v>46295.661168981482</v>
      </c>
      <c r="B347" s="1">
        <v>18000</v>
      </c>
      <c r="C347" s="1" t="s">
        <v>0</v>
      </c>
      <c r="D347" s="1">
        <v>135.10787963867199</v>
      </c>
      <c r="E347" s="2">
        <v>46295.661168981482</v>
      </c>
      <c r="F347" s="1">
        <v>18000</v>
      </c>
      <c r="G347" s="1" t="s">
        <v>0</v>
      </c>
      <c r="H347" s="1">
        <v>20.0016784667969</v>
      </c>
    </row>
    <row r="348" spans="1:8" ht="14.25" customHeight="1" x14ac:dyDescent="0.2">
      <c r="A348" s="2">
        <v>46295.661203703705</v>
      </c>
      <c r="B348" s="1">
        <v>17500</v>
      </c>
      <c r="C348" s="1" t="s">
        <v>0</v>
      </c>
      <c r="D348" s="1">
        <v>135.14968872070301</v>
      </c>
      <c r="E348" s="2">
        <v>46295.661203703705</v>
      </c>
      <c r="F348" s="1">
        <v>17500</v>
      </c>
      <c r="G348" s="1" t="s">
        <v>0</v>
      </c>
      <c r="H348" s="1">
        <v>19.9270629882813</v>
      </c>
    </row>
    <row r="349" spans="1:8" ht="14.25" customHeight="1" x14ac:dyDescent="0.2">
      <c r="A349" s="2">
        <v>46295.661249999997</v>
      </c>
      <c r="B349" s="1">
        <v>17000</v>
      </c>
      <c r="C349" s="1" t="s">
        <v>0</v>
      </c>
      <c r="D349" s="1">
        <v>135.13122558593801</v>
      </c>
      <c r="E349" s="2">
        <v>46295.661249999997</v>
      </c>
      <c r="F349" s="1">
        <v>17000</v>
      </c>
      <c r="G349" s="1" t="s">
        <v>0</v>
      </c>
      <c r="H349" s="1">
        <v>19.910888671875</v>
      </c>
    </row>
    <row r="350" spans="1:8" ht="14.25" customHeight="1" x14ac:dyDescent="0.2">
      <c r="A350" s="2">
        <v>46295.661296296297</v>
      </c>
      <c r="B350" s="1">
        <v>16500</v>
      </c>
      <c r="C350" s="1" t="s">
        <v>0</v>
      </c>
      <c r="D350" s="1">
        <v>135.16418457031301</v>
      </c>
      <c r="E350" s="2">
        <v>46295.661296296297</v>
      </c>
      <c r="F350" s="1">
        <v>16500</v>
      </c>
      <c r="G350" s="1" t="s">
        <v>0</v>
      </c>
      <c r="H350" s="1">
        <v>19.8616027832031</v>
      </c>
    </row>
    <row r="351" spans="1:8" ht="14.25" customHeight="1" x14ac:dyDescent="0.2">
      <c r="A351" s="2">
        <v>46295.661354166667</v>
      </c>
      <c r="B351" s="1">
        <v>16000</v>
      </c>
      <c r="C351" s="1" t="s">
        <v>0</v>
      </c>
      <c r="D351" s="1">
        <v>135.17990112304699</v>
      </c>
      <c r="E351" s="2">
        <v>46295.661354166667</v>
      </c>
      <c r="F351" s="1">
        <v>16000</v>
      </c>
      <c r="G351" s="1" t="s">
        <v>0</v>
      </c>
      <c r="H351" s="1">
        <v>19.710693359375</v>
      </c>
    </row>
    <row r="352" spans="1:8" ht="14.25" customHeight="1" x14ac:dyDescent="0.2">
      <c r="A352" s="2">
        <v>46295.661400462966</v>
      </c>
      <c r="B352" s="1">
        <v>15500</v>
      </c>
      <c r="C352" s="1" t="s">
        <v>0</v>
      </c>
      <c r="D352" s="1">
        <v>135.14923095703099</v>
      </c>
      <c r="E352" s="2">
        <v>46295.661400462966</v>
      </c>
      <c r="F352" s="1">
        <v>15500</v>
      </c>
      <c r="G352" s="1" t="s">
        <v>0</v>
      </c>
      <c r="H352" s="1">
        <v>19.66796875</v>
      </c>
    </row>
    <row r="353" spans="1:8" ht="14.25" customHeight="1" x14ac:dyDescent="0.2">
      <c r="A353" s="2">
        <v>46295.661446759259</v>
      </c>
      <c r="B353" s="1">
        <v>15000</v>
      </c>
      <c r="C353" s="1" t="s">
        <v>0</v>
      </c>
      <c r="D353" s="1">
        <v>135.16998291015599</v>
      </c>
      <c r="E353" s="2">
        <v>46295.661446759259</v>
      </c>
      <c r="F353" s="1">
        <v>15000</v>
      </c>
      <c r="G353" s="1" t="s">
        <v>0</v>
      </c>
      <c r="H353" s="1">
        <v>19.67041015625</v>
      </c>
    </row>
    <row r="354" spans="1:8" ht="14.25" customHeight="1" x14ac:dyDescent="0.2">
      <c r="A354" s="2">
        <v>46295.661493055559</v>
      </c>
      <c r="B354" s="1">
        <v>14500</v>
      </c>
      <c r="C354" s="1" t="s">
        <v>0</v>
      </c>
      <c r="D354" s="1">
        <v>135.16799926757801</v>
      </c>
      <c r="E354" s="2">
        <v>46295.661493055559</v>
      </c>
      <c r="F354" s="1">
        <v>14500</v>
      </c>
      <c r="G354" s="1" t="s">
        <v>0</v>
      </c>
      <c r="H354" s="1">
        <v>19.4590759277344</v>
      </c>
    </row>
    <row r="355" spans="1:8" ht="14.25" customHeight="1" x14ac:dyDescent="0.2">
      <c r="A355" s="2">
        <v>46295.661539351851</v>
      </c>
      <c r="B355" s="1">
        <v>14000</v>
      </c>
      <c r="C355" s="1" t="s">
        <v>0</v>
      </c>
      <c r="D355" s="1">
        <v>135.14129638671901</v>
      </c>
      <c r="E355" s="2">
        <v>46295.661539351851</v>
      </c>
      <c r="F355" s="1">
        <v>14000</v>
      </c>
      <c r="G355" s="1" t="s">
        <v>0</v>
      </c>
      <c r="H355" s="1">
        <v>19.2890930175781</v>
      </c>
    </row>
    <row r="356" spans="1:8" ht="14.25" customHeight="1" x14ac:dyDescent="0.2">
      <c r="A356" s="2">
        <v>46295.661585648151</v>
      </c>
      <c r="B356" s="1">
        <v>13500</v>
      </c>
      <c r="C356" s="1" t="s">
        <v>0</v>
      </c>
      <c r="D356" s="1">
        <v>135.14205932617199</v>
      </c>
      <c r="E356" s="2">
        <v>46295.661585648151</v>
      </c>
      <c r="F356" s="1">
        <v>13500</v>
      </c>
      <c r="G356" s="1" t="s">
        <v>0</v>
      </c>
      <c r="H356" s="1">
        <v>19.1438293457031</v>
      </c>
    </row>
    <row r="357" spans="1:8" ht="14.25" customHeight="1" x14ac:dyDescent="0.2">
      <c r="A357" s="2">
        <v>46295.661631944444</v>
      </c>
      <c r="B357" s="1">
        <v>13000</v>
      </c>
      <c r="C357" s="1" t="s">
        <v>0</v>
      </c>
      <c r="D357" s="1">
        <v>135.14724731445301</v>
      </c>
      <c r="E357" s="2">
        <v>46295.661631944444</v>
      </c>
      <c r="F357" s="1">
        <v>13000</v>
      </c>
      <c r="G357" s="1" t="s">
        <v>0</v>
      </c>
      <c r="H357" s="1">
        <v>18.9775085449219</v>
      </c>
    </row>
    <row r="358" spans="1:8" ht="14.25" customHeight="1" x14ac:dyDescent="0.2">
      <c r="A358" s="2">
        <v>46295.661678240744</v>
      </c>
      <c r="B358" s="1">
        <v>12500</v>
      </c>
      <c r="C358" s="1" t="s">
        <v>0</v>
      </c>
      <c r="D358" s="1">
        <v>135.15930175781301</v>
      </c>
      <c r="E358" s="2">
        <v>46295.661678240744</v>
      </c>
      <c r="F358" s="1">
        <v>12500</v>
      </c>
      <c r="G358" s="1" t="s">
        <v>0</v>
      </c>
      <c r="H358" s="1">
        <v>18.7712097167969</v>
      </c>
    </row>
    <row r="359" spans="1:8" ht="14.25" customHeight="1" x14ac:dyDescent="0.2">
      <c r="A359" s="2">
        <v>46295.661724537036</v>
      </c>
      <c r="B359" s="1">
        <v>12000</v>
      </c>
      <c r="C359" s="1" t="s">
        <v>0</v>
      </c>
      <c r="D359" s="1">
        <v>135.11062622070301</v>
      </c>
      <c r="E359" s="2">
        <v>46295.661724537036</v>
      </c>
      <c r="F359" s="1">
        <v>12000</v>
      </c>
      <c r="G359" s="1" t="s">
        <v>0</v>
      </c>
      <c r="H359" s="1">
        <v>18.5462951660156</v>
      </c>
    </row>
    <row r="360" spans="1:8" ht="14.25" customHeight="1" x14ac:dyDescent="0.2">
      <c r="A360" s="2">
        <v>46295.661770833336</v>
      </c>
      <c r="B360" s="1">
        <v>11500</v>
      </c>
      <c r="C360" s="1" t="s">
        <v>0</v>
      </c>
      <c r="D360" s="1">
        <v>135.10192871093801</v>
      </c>
      <c r="E360" s="2">
        <v>46295.661770833336</v>
      </c>
      <c r="F360" s="1">
        <v>11500</v>
      </c>
      <c r="G360" s="1" t="s">
        <v>0</v>
      </c>
      <c r="H360" s="1">
        <v>18.3302307128906</v>
      </c>
    </row>
    <row r="361" spans="1:8" ht="14.25" customHeight="1" x14ac:dyDescent="0.2">
      <c r="A361" s="2">
        <v>46295.661817129629</v>
      </c>
      <c r="B361" s="1">
        <v>11000</v>
      </c>
      <c r="C361" s="1" t="s">
        <v>0</v>
      </c>
      <c r="D361" s="1">
        <v>135.12466430664099</v>
      </c>
      <c r="E361" s="2">
        <v>46295.661817129629</v>
      </c>
      <c r="F361" s="1">
        <v>11000</v>
      </c>
      <c r="G361" s="1" t="s">
        <v>0</v>
      </c>
      <c r="H361" s="1">
        <v>18.023681640625</v>
      </c>
    </row>
    <row r="362" spans="1:8" ht="14.25" customHeight="1" x14ac:dyDescent="0.2">
      <c r="A362" s="2">
        <v>46295.661863425928</v>
      </c>
      <c r="B362" s="1">
        <v>10500</v>
      </c>
      <c r="C362" s="1" t="s">
        <v>0</v>
      </c>
      <c r="D362" s="1">
        <v>135.12283325195301</v>
      </c>
      <c r="E362" s="2">
        <v>46295.661863425928</v>
      </c>
      <c r="F362" s="1">
        <v>10500</v>
      </c>
      <c r="G362" s="1" t="s">
        <v>0</v>
      </c>
      <c r="H362" s="1">
        <v>17.7311706542969</v>
      </c>
    </row>
    <row r="363" spans="1:8" ht="14.25" customHeight="1" x14ac:dyDescent="0.2">
      <c r="A363" s="2">
        <v>46295.661909722221</v>
      </c>
      <c r="B363" s="1">
        <v>10000</v>
      </c>
      <c r="C363" s="1" t="s">
        <v>0</v>
      </c>
      <c r="D363" s="1">
        <v>135.08956909179699</v>
      </c>
      <c r="E363" s="2">
        <v>46295.661909722221</v>
      </c>
      <c r="F363" s="1">
        <v>10000</v>
      </c>
      <c r="G363" s="1" t="s">
        <v>0</v>
      </c>
      <c r="H363" s="1">
        <v>17.40966796875</v>
      </c>
    </row>
    <row r="364" spans="1:8" ht="14.25" customHeight="1" x14ac:dyDescent="0.2">
      <c r="A364" s="2">
        <v>46295.661956018521</v>
      </c>
      <c r="B364" s="1">
        <v>9500</v>
      </c>
      <c r="C364" s="1" t="s">
        <v>0</v>
      </c>
      <c r="D364" s="1">
        <v>135.14297485351599</v>
      </c>
      <c r="E364" s="2">
        <v>46295.661956018521</v>
      </c>
      <c r="F364" s="1">
        <v>9500</v>
      </c>
      <c r="G364" s="1" t="s">
        <v>0</v>
      </c>
      <c r="H364" s="1">
        <v>17.1171569824219</v>
      </c>
    </row>
    <row r="365" spans="1:8" ht="14.25" customHeight="1" x14ac:dyDescent="0.2">
      <c r="A365" s="2">
        <v>46295.662002314813</v>
      </c>
      <c r="B365" s="1">
        <v>9000</v>
      </c>
      <c r="C365" s="1" t="s">
        <v>0</v>
      </c>
      <c r="D365" s="1">
        <v>135.15518188476599</v>
      </c>
      <c r="E365" s="2">
        <v>46295.662002314813</v>
      </c>
      <c r="F365" s="1">
        <v>9000</v>
      </c>
      <c r="G365" s="1" t="s">
        <v>0</v>
      </c>
      <c r="H365" s="1">
        <v>16.729736328125</v>
      </c>
    </row>
    <row r="366" spans="1:8" ht="14.25" customHeight="1" x14ac:dyDescent="0.2">
      <c r="A366" s="2">
        <v>46295.662048611113</v>
      </c>
      <c r="B366" s="1">
        <v>8500</v>
      </c>
      <c r="C366" s="1" t="s">
        <v>0</v>
      </c>
      <c r="D366" s="1">
        <v>135.16815185546901</v>
      </c>
      <c r="E366" s="2">
        <v>46295.662048611113</v>
      </c>
      <c r="F366" s="1">
        <v>8500</v>
      </c>
      <c r="G366" s="1" t="s">
        <v>0</v>
      </c>
      <c r="H366" s="1">
        <v>16.3566589355469</v>
      </c>
    </row>
    <row r="367" spans="1:8" ht="14.25" customHeight="1" x14ac:dyDescent="0.2">
      <c r="A367" s="2">
        <v>46295.662094907406</v>
      </c>
      <c r="B367" s="1">
        <v>8000</v>
      </c>
      <c r="C367" s="1" t="s">
        <v>0</v>
      </c>
      <c r="D367" s="1">
        <v>135.13107299804699</v>
      </c>
      <c r="E367" s="2">
        <v>46295.662094907406</v>
      </c>
      <c r="F367" s="1">
        <v>8000</v>
      </c>
      <c r="G367" s="1" t="s">
        <v>0</v>
      </c>
      <c r="H367" s="1">
        <v>15.9512329101563</v>
      </c>
    </row>
    <row r="368" spans="1:8" ht="14.25" customHeight="1" x14ac:dyDescent="0.2">
      <c r="A368" s="2">
        <v>46295.662141203706</v>
      </c>
      <c r="B368" s="1">
        <v>7500</v>
      </c>
      <c r="C368" s="1" t="s">
        <v>0</v>
      </c>
      <c r="D368" s="1">
        <v>135.16830444335901</v>
      </c>
      <c r="E368" s="2">
        <v>46295.662141203706</v>
      </c>
      <c r="F368" s="1">
        <v>7500</v>
      </c>
      <c r="G368" s="1" t="s">
        <v>0</v>
      </c>
      <c r="H368" s="1">
        <v>15.3369140625</v>
      </c>
    </row>
    <row r="369" spans="1:8" ht="14.25" customHeight="1" x14ac:dyDescent="0.2">
      <c r="A369" s="2">
        <v>46295.662187499998</v>
      </c>
      <c r="B369" s="1">
        <v>7000</v>
      </c>
      <c r="C369" s="1" t="s">
        <v>0</v>
      </c>
      <c r="D369" s="1">
        <v>135.15579223632801</v>
      </c>
      <c r="E369" s="2">
        <v>46295.662187499998</v>
      </c>
      <c r="F369" s="1">
        <v>7000</v>
      </c>
      <c r="G369" s="1" t="s">
        <v>0</v>
      </c>
      <c r="H369" s="1">
        <v>14.6014404296875</v>
      </c>
    </row>
    <row r="370" spans="1:8" ht="14.25" customHeight="1" x14ac:dyDescent="0.2">
      <c r="A370" s="2">
        <v>46295.662233796298</v>
      </c>
      <c r="B370" s="1">
        <v>6500</v>
      </c>
      <c r="C370" s="1" t="s">
        <v>0</v>
      </c>
      <c r="D370" s="1">
        <v>135.13031005859401</v>
      </c>
      <c r="E370" s="2">
        <v>46295.662233796298</v>
      </c>
      <c r="F370" s="1">
        <v>6500</v>
      </c>
      <c r="G370" s="1" t="s">
        <v>0</v>
      </c>
      <c r="H370" s="1">
        <v>13.8140869140625</v>
      </c>
    </row>
    <row r="371" spans="1:8" ht="14.25" customHeight="1" x14ac:dyDescent="0.2">
      <c r="A371" s="2">
        <v>46295.662280092591</v>
      </c>
      <c r="B371" s="1">
        <v>6000</v>
      </c>
      <c r="C371" s="1" t="s">
        <v>0</v>
      </c>
      <c r="D371" s="1">
        <v>135.17471313476599</v>
      </c>
      <c r="E371" s="2">
        <v>46295.662280092591</v>
      </c>
      <c r="F371" s="1">
        <v>6000</v>
      </c>
      <c r="G371" s="1" t="s">
        <v>0</v>
      </c>
      <c r="H371" s="1">
        <v>13.0387878417969</v>
      </c>
    </row>
    <row r="372" spans="1:8" ht="14.25" customHeight="1" x14ac:dyDescent="0.2">
      <c r="A372" s="2">
        <v>46295.662326388891</v>
      </c>
      <c r="B372" s="1">
        <v>5500</v>
      </c>
      <c r="C372" s="1" t="s">
        <v>0</v>
      </c>
      <c r="D372" s="1">
        <v>135.14450073242199</v>
      </c>
      <c r="E372" s="2">
        <v>46295.662326388891</v>
      </c>
      <c r="F372" s="1">
        <v>5500</v>
      </c>
      <c r="G372" s="1" t="s">
        <v>0</v>
      </c>
      <c r="H372" s="1">
        <v>12.1873474121094</v>
      </c>
    </row>
    <row r="373" spans="1:8" ht="14.25" customHeight="1" x14ac:dyDescent="0.2">
      <c r="A373" s="2">
        <v>46295.662372685183</v>
      </c>
      <c r="B373" s="1">
        <v>5000</v>
      </c>
      <c r="C373" s="1" t="s">
        <v>0</v>
      </c>
      <c r="D373" s="1">
        <v>135.1171875</v>
      </c>
      <c r="E373" s="2">
        <v>46295.662372685183</v>
      </c>
      <c r="F373" s="1">
        <v>5000</v>
      </c>
      <c r="G373" s="1" t="s">
        <v>0</v>
      </c>
      <c r="H373" s="1">
        <v>11.3783264160156</v>
      </c>
    </row>
    <row r="374" spans="1:8" ht="14.25" customHeight="1" x14ac:dyDescent="0.2">
      <c r="A374" s="2">
        <v>46295.662418981483</v>
      </c>
      <c r="B374" s="1">
        <v>4500</v>
      </c>
      <c r="C374" s="1" t="s">
        <v>0</v>
      </c>
      <c r="D374" s="1">
        <v>135.150146484375</v>
      </c>
      <c r="E374" s="2">
        <v>46295.662418981483</v>
      </c>
      <c r="F374" s="1">
        <v>4500</v>
      </c>
      <c r="G374" s="1" t="s">
        <v>0</v>
      </c>
      <c r="H374" s="1">
        <v>10.5473327636719</v>
      </c>
    </row>
    <row r="375" spans="1:8" ht="14.25" customHeight="1" x14ac:dyDescent="0.2">
      <c r="A375" s="2">
        <v>46295.662465277775</v>
      </c>
      <c r="B375" s="1">
        <v>4000</v>
      </c>
      <c r="C375" s="1" t="s">
        <v>0</v>
      </c>
      <c r="D375" s="1">
        <v>135.14816284179699</v>
      </c>
      <c r="E375" s="2">
        <v>46295.662465277775</v>
      </c>
      <c r="F375" s="1">
        <v>4000</v>
      </c>
      <c r="G375" s="1" t="s">
        <v>0</v>
      </c>
      <c r="H375" s="1">
        <v>9.6421813964843803</v>
      </c>
    </row>
    <row r="376" spans="1:8" ht="14.25" customHeight="1" x14ac:dyDescent="0.2">
      <c r="A376" s="2">
        <v>46295.662511574075</v>
      </c>
      <c r="B376" s="1">
        <v>3500</v>
      </c>
      <c r="C376" s="1" t="s">
        <v>0</v>
      </c>
      <c r="D376" s="1">
        <v>135.16998291015599</v>
      </c>
      <c r="E376" s="2">
        <v>46295.662511574075</v>
      </c>
      <c r="F376" s="1">
        <v>3500</v>
      </c>
      <c r="G376" s="1" t="s">
        <v>0</v>
      </c>
      <c r="H376" s="1">
        <v>8.8505554199218803</v>
      </c>
    </row>
    <row r="377" spans="1:8" ht="14.25" customHeight="1" x14ac:dyDescent="0.2">
      <c r="A377" s="2">
        <v>46295.662557870368</v>
      </c>
      <c r="B377" s="1">
        <v>3000</v>
      </c>
      <c r="C377" s="1" t="s">
        <v>0</v>
      </c>
      <c r="D377" s="1">
        <v>135.17044067382801</v>
      </c>
      <c r="E377" s="2">
        <v>46295.662557870368</v>
      </c>
      <c r="F377" s="1">
        <v>3000</v>
      </c>
      <c r="G377" s="1" t="s">
        <v>0</v>
      </c>
      <c r="H377" s="1">
        <v>8.2963562011718803</v>
      </c>
    </row>
    <row r="378" spans="1:8" ht="14.25" customHeight="1" x14ac:dyDescent="0.2">
      <c r="A378" s="2">
        <v>46295.662604166668</v>
      </c>
      <c r="B378" s="1">
        <v>2500</v>
      </c>
      <c r="C378" s="1" t="s">
        <v>0</v>
      </c>
      <c r="D378" s="1">
        <v>135.16860961914099</v>
      </c>
      <c r="E378" s="2">
        <v>46295.662604166668</v>
      </c>
      <c r="F378" s="1">
        <v>2500</v>
      </c>
      <c r="G378" s="1" t="s">
        <v>0</v>
      </c>
      <c r="H378" s="1">
        <v>7.9359436035156303</v>
      </c>
    </row>
    <row r="379" spans="1:8" ht="14.25" customHeight="1" x14ac:dyDescent="0.2">
      <c r="A379" s="2">
        <v>46295.66265046296</v>
      </c>
      <c r="B379" s="1">
        <v>2000</v>
      </c>
      <c r="C379" s="1" t="s">
        <v>0</v>
      </c>
      <c r="D379" s="1">
        <v>135.181884765625</v>
      </c>
      <c r="E379" s="2">
        <v>46295.66265046296</v>
      </c>
      <c r="F379" s="1">
        <v>2000</v>
      </c>
      <c r="G379" s="1" t="s">
        <v>0</v>
      </c>
      <c r="H379" s="1">
        <v>7.95684814453125</v>
      </c>
    </row>
    <row r="380" spans="1:8" ht="14.25" customHeight="1" x14ac:dyDescent="0.2">
      <c r="A380" s="2">
        <v>46295.66269675926</v>
      </c>
      <c r="B380" s="1">
        <v>1500</v>
      </c>
      <c r="C380" s="1" t="s">
        <v>0</v>
      </c>
      <c r="D380" s="1">
        <v>135.14175415039099</v>
      </c>
      <c r="E380" s="2">
        <v>46295.66269675926</v>
      </c>
      <c r="F380" s="1">
        <v>1500</v>
      </c>
      <c r="G380" s="1" t="s">
        <v>0</v>
      </c>
      <c r="H380" s="1">
        <v>7.8819274902343803</v>
      </c>
    </row>
    <row r="381" spans="1:8" ht="14.25" customHeight="1" x14ac:dyDescent="0.2">
      <c r="A381" s="2">
        <v>46295.662743055553</v>
      </c>
      <c r="B381" s="1">
        <v>1000</v>
      </c>
      <c r="C381" s="1" t="s">
        <v>0</v>
      </c>
      <c r="D381" s="1">
        <v>135.16403198242199</v>
      </c>
      <c r="E381" s="2">
        <v>46295.662743055553</v>
      </c>
      <c r="F381" s="1">
        <v>1000</v>
      </c>
      <c r="G381" s="1" t="s">
        <v>0</v>
      </c>
      <c r="H381" s="1">
        <v>8.0003356933593803</v>
      </c>
    </row>
    <row r="382" spans="1:8" ht="14.25" customHeight="1" x14ac:dyDescent="0.2">
      <c r="A382" s="2">
        <v>46295.662789351853</v>
      </c>
      <c r="B382" s="1">
        <v>500</v>
      </c>
      <c r="C382" s="1" t="s">
        <v>0</v>
      </c>
      <c r="D382" s="1">
        <v>135.21682739257801</v>
      </c>
      <c r="E382" s="2">
        <v>46295.662789351853</v>
      </c>
      <c r="F382" s="1">
        <v>500</v>
      </c>
      <c r="G382" s="1" t="s">
        <v>0</v>
      </c>
      <c r="H382" s="1">
        <v>7.76214599609375</v>
      </c>
    </row>
    <row r="383" spans="1:8" ht="14.25" customHeight="1" x14ac:dyDescent="0.2">
      <c r="A383" s="2">
        <v>46295.662835648145</v>
      </c>
      <c r="B383" s="1">
        <v>0</v>
      </c>
      <c r="C383" s="1" t="s">
        <v>0</v>
      </c>
      <c r="D383" s="1">
        <v>135.21926879882801</v>
      </c>
      <c r="E383" s="2">
        <v>46295.662835648145</v>
      </c>
      <c r="F383" s="1">
        <v>0</v>
      </c>
      <c r="G383" s="1" t="s">
        <v>0</v>
      </c>
      <c r="H383" s="1">
        <v>7.76092529296875</v>
      </c>
    </row>
    <row r="384" spans="1:8" ht="14.25" customHeight="1" x14ac:dyDescent="0.2">
      <c r="A384" s="2">
        <v>46295.662881944445</v>
      </c>
      <c r="B384" s="1">
        <v>-500</v>
      </c>
      <c r="C384" s="1" t="s">
        <v>0</v>
      </c>
      <c r="D384" s="1">
        <v>135.21682739257801</v>
      </c>
      <c r="E384" s="2">
        <v>46295.662881944445</v>
      </c>
      <c r="F384" s="1">
        <v>-500</v>
      </c>
      <c r="G384" s="1" t="s">
        <v>0</v>
      </c>
      <c r="H384" s="1">
        <v>7.8590393066406303</v>
      </c>
    </row>
    <row r="385" spans="1:8" ht="14.25" customHeight="1" x14ac:dyDescent="0.2">
      <c r="A385" s="2">
        <v>46295.662928240738</v>
      </c>
      <c r="B385" s="1">
        <v>-1000</v>
      </c>
      <c r="C385" s="1" t="s">
        <v>0</v>
      </c>
      <c r="D385" s="1">
        <v>135.21423339843801</v>
      </c>
      <c r="E385" s="2">
        <v>46295.662928240738</v>
      </c>
      <c r="F385" s="1">
        <v>-1000</v>
      </c>
      <c r="G385" s="1" t="s">
        <v>0</v>
      </c>
      <c r="H385" s="1">
        <v>7.8575134277343803</v>
      </c>
    </row>
    <row r="386" spans="1:8" ht="14.25" customHeight="1" x14ac:dyDescent="0.2">
      <c r="A386" s="2">
        <v>46295.662974537037</v>
      </c>
      <c r="B386" s="1">
        <v>-1500</v>
      </c>
      <c r="C386" s="1" t="s">
        <v>0</v>
      </c>
      <c r="D386" s="1">
        <v>135.223388671875</v>
      </c>
      <c r="E386" s="2">
        <v>46295.662974537037</v>
      </c>
      <c r="F386" s="1">
        <v>-1500</v>
      </c>
      <c r="G386" s="1" t="s">
        <v>0</v>
      </c>
      <c r="H386" s="1">
        <v>7.82135009765625</v>
      </c>
    </row>
    <row r="387" spans="1:8" ht="14.25" customHeight="1" x14ac:dyDescent="0.2">
      <c r="A387" s="2">
        <v>46295.66302083333</v>
      </c>
      <c r="B387" s="1">
        <v>-2000</v>
      </c>
      <c r="C387" s="1" t="s">
        <v>0</v>
      </c>
      <c r="D387" s="1">
        <v>135.22415161132801</v>
      </c>
      <c r="E387" s="2">
        <v>46295.66302083333</v>
      </c>
      <c r="F387" s="1">
        <v>-2000</v>
      </c>
      <c r="G387" s="1" t="s">
        <v>0</v>
      </c>
      <c r="H387" s="1">
        <v>7.92816162109375</v>
      </c>
    </row>
    <row r="388" spans="1:8" ht="14.2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4.25" customHeight="1" x14ac:dyDescent="0.2">
      <c r="A389" s="2">
        <v>46295.9294212963</v>
      </c>
      <c r="B389" s="1">
        <v>-2000</v>
      </c>
      <c r="C389" s="1" t="s">
        <v>0</v>
      </c>
      <c r="D389" s="1">
        <v>67.611846923828097</v>
      </c>
      <c r="E389" s="2">
        <v>46295.9294212963</v>
      </c>
      <c r="F389" s="1">
        <v>-2000</v>
      </c>
      <c r="G389" s="1" t="s">
        <v>0</v>
      </c>
      <c r="H389" s="1">
        <v>8.7306213378906303</v>
      </c>
    </row>
    <row r="390" spans="1:8" ht="14.25" customHeight="1" x14ac:dyDescent="0.2">
      <c r="A390" s="2">
        <v>46295.929456018515</v>
      </c>
      <c r="B390" s="1">
        <v>-1900</v>
      </c>
      <c r="C390" s="1" t="s">
        <v>0</v>
      </c>
      <c r="D390" s="1">
        <v>68.66455078125</v>
      </c>
      <c r="E390" s="2">
        <v>46295.929456018515</v>
      </c>
      <c r="F390" s="1">
        <v>-1900</v>
      </c>
      <c r="G390" s="1" t="s">
        <v>0</v>
      </c>
      <c r="H390" s="1">
        <v>8.7483215332031303</v>
      </c>
    </row>
    <row r="391" spans="1:8" ht="14.25" customHeight="1" x14ac:dyDescent="0.2">
      <c r="A391" s="2">
        <v>46295.929490740738</v>
      </c>
      <c r="B391" s="1">
        <v>-1800</v>
      </c>
      <c r="C391" s="1" t="s">
        <v>0</v>
      </c>
      <c r="D391" s="1">
        <v>66.2213134765625</v>
      </c>
      <c r="E391" s="2">
        <v>46295.929490740738</v>
      </c>
      <c r="F391" s="1">
        <v>-1800</v>
      </c>
      <c r="G391" s="1" t="s">
        <v>0</v>
      </c>
      <c r="H391" s="1">
        <v>8.7713623046875</v>
      </c>
    </row>
    <row r="392" spans="1:8" ht="14.25" customHeight="1" x14ac:dyDescent="0.2">
      <c r="A392" s="2">
        <v>46295.929525462961</v>
      </c>
      <c r="B392" s="1">
        <v>-1700</v>
      </c>
      <c r="C392" s="1" t="s">
        <v>0</v>
      </c>
      <c r="D392" s="1">
        <v>65.014801025390597</v>
      </c>
      <c r="E392" s="2">
        <v>46295.929525462961</v>
      </c>
      <c r="F392" s="1">
        <v>-1700</v>
      </c>
      <c r="G392" s="1" t="s">
        <v>0</v>
      </c>
      <c r="H392" s="1">
        <v>8.7126159667968803</v>
      </c>
    </row>
    <row r="393" spans="1:8" ht="14.25" customHeight="1" x14ac:dyDescent="0.2">
      <c r="A393" s="2">
        <v>46295.929560185185</v>
      </c>
      <c r="B393" s="1">
        <v>-1600</v>
      </c>
      <c r="C393" s="1" t="s">
        <v>0</v>
      </c>
      <c r="D393" s="1">
        <v>64.530181884765597</v>
      </c>
      <c r="E393" s="2">
        <v>46295.929560185185</v>
      </c>
      <c r="F393" s="1">
        <v>-1600</v>
      </c>
      <c r="G393" s="1" t="s">
        <v>0</v>
      </c>
      <c r="H393" s="1">
        <v>8.7181091308593803</v>
      </c>
    </row>
    <row r="394" spans="1:8" ht="14.25" customHeight="1" x14ac:dyDescent="0.2">
      <c r="A394" s="2">
        <v>46295.929594907408</v>
      </c>
      <c r="B394" s="1">
        <v>-1500</v>
      </c>
      <c r="C394" s="1" t="s">
        <v>0</v>
      </c>
      <c r="D394" s="1">
        <v>64.096984863281307</v>
      </c>
      <c r="E394" s="2">
        <v>46295.929594907408</v>
      </c>
      <c r="F394" s="1">
        <v>-1500</v>
      </c>
      <c r="G394" s="1" t="s">
        <v>0</v>
      </c>
      <c r="H394" s="1">
        <v>8.7577819824218803</v>
      </c>
    </row>
    <row r="395" spans="1:8" ht="14.25" customHeight="1" x14ac:dyDescent="0.2">
      <c r="A395" s="2">
        <v>46295.929629629631</v>
      </c>
      <c r="B395" s="1">
        <v>-1400</v>
      </c>
      <c r="C395" s="1" t="s">
        <v>0</v>
      </c>
      <c r="D395" s="1">
        <v>63.870086669921903</v>
      </c>
      <c r="E395" s="2">
        <v>46295.929629629631</v>
      </c>
      <c r="F395" s="1">
        <v>-1400</v>
      </c>
      <c r="G395" s="1" t="s">
        <v>0</v>
      </c>
      <c r="H395" s="1">
        <v>8.7910461425781303</v>
      </c>
    </row>
    <row r="396" spans="1:8" ht="14.25" customHeight="1" x14ac:dyDescent="0.2">
      <c r="A396" s="2">
        <v>46295.929664351854</v>
      </c>
      <c r="B396" s="1">
        <v>-1300</v>
      </c>
      <c r="C396" s="1" t="s">
        <v>0</v>
      </c>
      <c r="D396" s="1">
        <v>63.352813720703097</v>
      </c>
      <c r="E396" s="2">
        <v>46295.929664351854</v>
      </c>
      <c r="F396" s="1">
        <v>-1300</v>
      </c>
      <c r="G396" s="1" t="s">
        <v>0</v>
      </c>
      <c r="H396" s="1">
        <v>8.67828369140625</v>
      </c>
    </row>
    <row r="397" spans="1:8" ht="14.25" customHeight="1" x14ac:dyDescent="0.2">
      <c r="A397" s="2">
        <v>46295.929699074077</v>
      </c>
      <c r="B397" s="1">
        <v>-1200</v>
      </c>
      <c r="C397" s="1" t="s">
        <v>0</v>
      </c>
      <c r="D397" s="1">
        <v>62.935791015625</v>
      </c>
      <c r="E397" s="2">
        <v>46295.929699074077</v>
      </c>
      <c r="F397" s="1">
        <v>-1200</v>
      </c>
      <c r="G397" s="1" t="s">
        <v>0</v>
      </c>
      <c r="H397" s="1">
        <v>8.7382507324218803</v>
      </c>
    </row>
    <row r="398" spans="1:8" ht="14.25" customHeight="1" x14ac:dyDescent="0.2">
      <c r="A398" s="2">
        <v>46295.9297337963</v>
      </c>
      <c r="B398" s="1">
        <v>-1100</v>
      </c>
      <c r="C398" s="1" t="s">
        <v>0</v>
      </c>
      <c r="D398" s="1">
        <v>62.547607421875</v>
      </c>
      <c r="E398" s="2">
        <v>46295.9297337963</v>
      </c>
      <c r="F398" s="1">
        <v>-1100</v>
      </c>
      <c r="G398" s="1" t="s">
        <v>0</v>
      </c>
      <c r="H398" s="1">
        <v>8.7345886230468803</v>
      </c>
    </row>
    <row r="399" spans="1:8" ht="14.25" customHeight="1" x14ac:dyDescent="0.2">
      <c r="A399" s="2">
        <v>46295.929768518516</v>
      </c>
      <c r="B399" s="1">
        <v>-1000</v>
      </c>
      <c r="C399" s="1" t="s">
        <v>0</v>
      </c>
      <c r="D399" s="1">
        <v>62.7383422851563</v>
      </c>
      <c r="E399" s="2">
        <v>46295.929768518516</v>
      </c>
      <c r="F399" s="1">
        <v>-1000</v>
      </c>
      <c r="G399" s="1" t="s">
        <v>0</v>
      </c>
      <c r="H399" s="1">
        <v>8.6430358886718803</v>
      </c>
    </row>
    <row r="400" spans="1:8" ht="14.25" customHeight="1" x14ac:dyDescent="0.2">
      <c r="A400" s="2">
        <v>46295.929803240739</v>
      </c>
      <c r="B400" s="1">
        <v>-900</v>
      </c>
      <c r="C400" s="1" t="s">
        <v>0</v>
      </c>
      <c r="D400" s="1">
        <v>62.060546875</v>
      </c>
      <c r="E400" s="2">
        <v>46295.929803240739</v>
      </c>
      <c r="F400" s="1">
        <v>-900</v>
      </c>
      <c r="G400" s="1" t="s">
        <v>0</v>
      </c>
      <c r="H400" s="1">
        <v>8.7666320800781303</v>
      </c>
    </row>
    <row r="401" spans="1:8" ht="14.25" customHeight="1" x14ac:dyDescent="0.2">
      <c r="A401" s="2">
        <v>46295.929837962962</v>
      </c>
      <c r="B401" s="1">
        <v>-800</v>
      </c>
      <c r="C401" s="1" t="s">
        <v>0</v>
      </c>
      <c r="D401" s="1">
        <v>61.685333251953097</v>
      </c>
      <c r="E401" s="2">
        <v>46295.929837962962</v>
      </c>
      <c r="F401" s="1">
        <v>-800</v>
      </c>
      <c r="G401" s="1" t="s">
        <v>0</v>
      </c>
      <c r="H401" s="1">
        <v>8.85040283203125</v>
      </c>
    </row>
    <row r="402" spans="1:8" ht="14.25" customHeight="1" x14ac:dyDescent="0.2">
      <c r="A402" s="2">
        <v>46295.929872685185</v>
      </c>
      <c r="B402" s="1">
        <v>-700</v>
      </c>
      <c r="C402" s="1" t="s">
        <v>0</v>
      </c>
      <c r="D402" s="1">
        <v>61.3967895507813</v>
      </c>
      <c r="E402" s="2">
        <v>46295.929872685185</v>
      </c>
      <c r="F402" s="1">
        <v>-700</v>
      </c>
      <c r="G402" s="1" t="s">
        <v>0</v>
      </c>
      <c r="H402" s="1">
        <v>8.9485168457031303</v>
      </c>
    </row>
    <row r="403" spans="1:8" ht="14.25" customHeight="1" x14ac:dyDescent="0.2">
      <c r="A403" s="2">
        <v>46295.929907407408</v>
      </c>
      <c r="B403" s="1">
        <v>-600</v>
      </c>
      <c r="C403" s="1" t="s">
        <v>0</v>
      </c>
      <c r="D403" s="1">
        <v>61.097869873046903</v>
      </c>
      <c r="E403" s="2">
        <v>46295.929907407408</v>
      </c>
      <c r="F403" s="1">
        <v>-600</v>
      </c>
      <c r="G403" s="1" t="s">
        <v>0</v>
      </c>
      <c r="H403" s="1">
        <v>8.8041687011718803</v>
      </c>
    </row>
    <row r="404" spans="1:8" ht="14.25" customHeight="1" x14ac:dyDescent="0.2">
      <c r="A404" s="2">
        <v>46295.929942129631</v>
      </c>
      <c r="B404" s="1">
        <v>-500</v>
      </c>
      <c r="C404" s="1" t="s">
        <v>0</v>
      </c>
      <c r="D404" s="1">
        <v>60.923919677734403</v>
      </c>
      <c r="E404" s="2">
        <v>46295.929942129631</v>
      </c>
      <c r="F404" s="1">
        <v>-500</v>
      </c>
      <c r="G404" s="1" t="s">
        <v>0</v>
      </c>
      <c r="H404" s="1">
        <v>8.87420654296875</v>
      </c>
    </row>
    <row r="405" spans="1:8" ht="14.25" customHeight="1" x14ac:dyDescent="0.2">
      <c r="A405" s="2">
        <v>46295.929976851854</v>
      </c>
      <c r="B405" s="1">
        <v>-400</v>
      </c>
      <c r="C405" s="1" t="s">
        <v>0</v>
      </c>
      <c r="D405" s="1">
        <v>60.7174682617188</v>
      </c>
      <c r="E405" s="2">
        <v>46295.929976851854</v>
      </c>
      <c r="F405" s="1">
        <v>-400</v>
      </c>
      <c r="G405" s="1" t="s">
        <v>0</v>
      </c>
      <c r="H405" s="1">
        <v>8.919677734375</v>
      </c>
    </row>
    <row r="406" spans="1:8" ht="14.25" customHeight="1" x14ac:dyDescent="0.2">
      <c r="A406" s="2">
        <v>46295.930011574077</v>
      </c>
      <c r="B406" s="1">
        <v>-300</v>
      </c>
      <c r="C406" s="1" t="s">
        <v>0</v>
      </c>
      <c r="D406" s="1">
        <v>60.68359375</v>
      </c>
      <c r="E406" s="2">
        <v>46295.930011574077</v>
      </c>
      <c r="F406" s="1">
        <v>-300</v>
      </c>
      <c r="G406" s="1" t="s">
        <v>0</v>
      </c>
      <c r="H406" s="1">
        <v>8.9912414550781303</v>
      </c>
    </row>
    <row r="407" spans="1:8" ht="14.25" customHeight="1" x14ac:dyDescent="0.2">
      <c r="A407" s="2">
        <v>46295.930046296293</v>
      </c>
      <c r="B407" s="1">
        <v>-200</v>
      </c>
      <c r="C407" s="1" t="s">
        <v>0</v>
      </c>
      <c r="D407" s="1">
        <v>60.737762451171903</v>
      </c>
      <c r="E407" s="2">
        <v>46295.930046296293</v>
      </c>
      <c r="F407" s="1">
        <v>-200</v>
      </c>
      <c r="G407" s="1" t="s">
        <v>0</v>
      </c>
      <c r="H407" s="1">
        <v>8.90045166015625</v>
      </c>
    </row>
    <row r="408" spans="1:8" ht="14.25" customHeight="1" x14ac:dyDescent="0.2">
      <c r="A408" s="2">
        <v>46295.930081018516</v>
      </c>
      <c r="B408" s="1">
        <v>-100</v>
      </c>
      <c r="C408" s="1" t="s">
        <v>0</v>
      </c>
      <c r="D408" s="1">
        <v>60.499420166015597</v>
      </c>
      <c r="E408" s="2">
        <v>46295.930081018516</v>
      </c>
      <c r="F408" s="1">
        <v>-100</v>
      </c>
      <c r="G408" s="1" t="s">
        <v>0</v>
      </c>
      <c r="H408" s="1">
        <v>8.86688232421875</v>
      </c>
    </row>
    <row r="409" spans="1:8" ht="14.25" customHeight="1" x14ac:dyDescent="0.2">
      <c r="A409" s="2">
        <v>46295.930115740739</v>
      </c>
      <c r="B409" s="1">
        <v>0</v>
      </c>
      <c r="C409" s="1" t="s">
        <v>0</v>
      </c>
      <c r="D409" s="1">
        <v>61.3919067382813</v>
      </c>
      <c r="E409" s="2">
        <v>46295.930115740739</v>
      </c>
      <c r="F409" s="1">
        <v>0</v>
      </c>
      <c r="G409" s="1" t="s">
        <v>0</v>
      </c>
      <c r="H409" s="1">
        <v>8.7791442871093803</v>
      </c>
    </row>
    <row r="410" spans="1:8" ht="14.25" customHeight="1" x14ac:dyDescent="0.2">
      <c r="A410" s="2">
        <v>46295.930150462962</v>
      </c>
      <c r="B410" s="1">
        <v>100</v>
      </c>
      <c r="C410" s="1" t="s">
        <v>0</v>
      </c>
      <c r="D410" s="1">
        <v>62.549591064453097</v>
      </c>
      <c r="E410" s="2">
        <v>46295.930150462962</v>
      </c>
      <c r="F410" s="1">
        <v>100</v>
      </c>
      <c r="G410" s="1" t="s">
        <v>0</v>
      </c>
      <c r="H410" s="1">
        <v>8.8417053222656303</v>
      </c>
    </row>
    <row r="411" spans="1:8" ht="14.25" customHeight="1" x14ac:dyDescent="0.2">
      <c r="A411" s="2">
        <v>46295.930185185185</v>
      </c>
      <c r="B411" s="1">
        <v>200</v>
      </c>
      <c r="C411" s="1" t="s">
        <v>0</v>
      </c>
      <c r="D411" s="1">
        <v>62.1087646484375</v>
      </c>
      <c r="E411" s="2">
        <v>46295.930185185185</v>
      </c>
      <c r="F411" s="1">
        <v>200</v>
      </c>
      <c r="G411" s="1" t="s">
        <v>0</v>
      </c>
      <c r="H411" s="1">
        <v>8.9042663574218803</v>
      </c>
    </row>
    <row r="412" spans="1:8" ht="14.25" customHeight="1" x14ac:dyDescent="0.2">
      <c r="A412" s="2">
        <v>46295.930219907408</v>
      </c>
      <c r="B412" s="1">
        <v>300</v>
      </c>
      <c r="C412" s="1" t="s">
        <v>0</v>
      </c>
      <c r="D412" s="1">
        <v>62.452545166015597</v>
      </c>
      <c r="E412" s="2">
        <v>46295.930219907408</v>
      </c>
      <c r="F412" s="1">
        <v>300</v>
      </c>
      <c r="G412" s="1" t="s">
        <v>0</v>
      </c>
      <c r="H412" s="1">
        <v>9.0080261230468803</v>
      </c>
    </row>
    <row r="413" spans="1:8" ht="14.25" customHeight="1" x14ac:dyDescent="0.2">
      <c r="A413" s="2">
        <v>46295.930254629631</v>
      </c>
      <c r="B413" s="1">
        <v>400</v>
      </c>
      <c r="C413" s="1" t="s">
        <v>0</v>
      </c>
      <c r="D413" s="1">
        <v>62.289886474609403</v>
      </c>
      <c r="E413" s="2">
        <v>46295.930254629631</v>
      </c>
      <c r="F413" s="1">
        <v>400</v>
      </c>
      <c r="G413" s="1" t="s">
        <v>0</v>
      </c>
      <c r="H413" s="1">
        <v>8.9320373535156303</v>
      </c>
    </row>
    <row r="414" spans="1:8" ht="14.25" customHeight="1" x14ac:dyDescent="0.2">
      <c r="A414" s="2">
        <v>46295.930289351854</v>
      </c>
      <c r="B414" s="1">
        <v>500</v>
      </c>
      <c r="C414" s="1" t="s">
        <v>0</v>
      </c>
      <c r="D414" s="1">
        <v>62.0465087890625</v>
      </c>
      <c r="E414" s="2">
        <v>46295.930289351854</v>
      </c>
      <c r="F414" s="1">
        <v>500</v>
      </c>
      <c r="G414" s="1" t="s">
        <v>0</v>
      </c>
      <c r="H414" s="1">
        <v>8.9866638183593803</v>
      </c>
    </row>
    <row r="415" spans="1:8" ht="14.25" customHeight="1" x14ac:dyDescent="0.2">
      <c r="A415" s="2">
        <v>46295.930324074077</v>
      </c>
      <c r="B415" s="1">
        <v>600</v>
      </c>
      <c r="C415" s="1" t="s">
        <v>0</v>
      </c>
      <c r="D415" s="1">
        <v>60.420074462890597</v>
      </c>
      <c r="E415" s="2">
        <v>46295.930324074077</v>
      </c>
      <c r="F415" s="1">
        <v>600</v>
      </c>
      <c r="G415" s="1" t="s">
        <v>0</v>
      </c>
      <c r="H415" s="1">
        <v>9.0434265136718803</v>
      </c>
    </row>
    <row r="416" spans="1:8" ht="14.25" customHeight="1" x14ac:dyDescent="0.2">
      <c r="A416" s="2">
        <v>46295.930358796293</v>
      </c>
      <c r="B416" s="1">
        <v>700</v>
      </c>
      <c r="C416" s="1" t="s">
        <v>0</v>
      </c>
      <c r="D416" s="1">
        <v>59.513702392578097</v>
      </c>
      <c r="E416" s="2">
        <v>46295.930358796293</v>
      </c>
      <c r="F416" s="1">
        <v>700</v>
      </c>
      <c r="G416" s="1" t="s">
        <v>0</v>
      </c>
      <c r="H416" s="1">
        <v>9.0251159667968803</v>
      </c>
    </row>
    <row r="417" spans="1:8" ht="14.25" customHeight="1" x14ac:dyDescent="0.2">
      <c r="A417" s="2">
        <v>46295.930393518516</v>
      </c>
      <c r="B417" s="1">
        <v>800</v>
      </c>
      <c r="C417" s="1" t="s">
        <v>0</v>
      </c>
      <c r="D417" s="1">
        <v>59.3350219726563</v>
      </c>
      <c r="E417" s="2">
        <v>46295.930393518516</v>
      </c>
      <c r="F417" s="1">
        <v>800</v>
      </c>
      <c r="G417" s="1" t="s">
        <v>0</v>
      </c>
      <c r="H417" s="1">
        <v>8.95904541015625</v>
      </c>
    </row>
    <row r="418" spans="1:8" ht="14.25" customHeight="1" x14ac:dyDescent="0.2">
      <c r="A418" s="2">
        <v>46295.930428240739</v>
      </c>
      <c r="B418" s="1">
        <v>900</v>
      </c>
      <c r="C418" s="1" t="s">
        <v>0</v>
      </c>
      <c r="D418" s="1">
        <v>59.053192138671903</v>
      </c>
      <c r="E418" s="2">
        <v>46295.930428240739</v>
      </c>
      <c r="F418" s="1">
        <v>900</v>
      </c>
      <c r="G418" s="1" t="s">
        <v>0</v>
      </c>
      <c r="H418" s="1">
        <v>8.8734436035156303</v>
      </c>
    </row>
    <row r="419" spans="1:8" ht="14.25" customHeight="1" x14ac:dyDescent="0.2">
      <c r="A419" s="2">
        <v>46295.930462962962</v>
      </c>
      <c r="B419" s="1">
        <v>1000</v>
      </c>
      <c r="C419" s="1" t="s">
        <v>0</v>
      </c>
      <c r="D419" s="1">
        <v>58.8400268554688</v>
      </c>
      <c r="E419" s="2">
        <v>46295.930462962962</v>
      </c>
      <c r="F419" s="1">
        <v>1000</v>
      </c>
      <c r="G419" s="1" t="s">
        <v>0</v>
      </c>
      <c r="H419" s="1">
        <v>8.8877868652343803</v>
      </c>
    </row>
    <row r="420" spans="1:8" ht="14.25" customHeight="1" x14ac:dyDescent="0.2">
      <c r="A420" s="2">
        <v>46295.930497685185</v>
      </c>
      <c r="B420" s="1">
        <v>1100</v>
      </c>
      <c r="C420" s="1" t="s">
        <v>0</v>
      </c>
      <c r="D420" s="1">
        <v>58.7515258789063</v>
      </c>
      <c r="E420" s="2">
        <v>46295.930497685185</v>
      </c>
      <c r="F420" s="1">
        <v>1100</v>
      </c>
      <c r="G420" s="1" t="s">
        <v>0</v>
      </c>
      <c r="H420" s="1">
        <v>9.0318298339843803</v>
      </c>
    </row>
    <row r="421" spans="1:8" ht="14.25" customHeight="1" x14ac:dyDescent="0.2">
      <c r="A421" s="2">
        <v>46295.930532407408</v>
      </c>
      <c r="B421" s="1">
        <v>1200</v>
      </c>
      <c r="C421" s="1" t="s">
        <v>0</v>
      </c>
      <c r="D421" s="1">
        <v>58.617095947265597</v>
      </c>
      <c r="E421" s="2">
        <v>46295.930532407408</v>
      </c>
      <c r="F421" s="1">
        <v>1200</v>
      </c>
      <c r="G421" s="1" t="s">
        <v>0</v>
      </c>
      <c r="H421" s="1">
        <v>9.4371032714843803</v>
      </c>
    </row>
    <row r="422" spans="1:8" ht="14.25" customHeight="1" x14ac:dyDescent="0.2">
      <c r="A422" s="2">
        <v>46295.930567129632</v>
      </c>
      <c r="B422" s="1">
        <v>1300</v>
      </c>
      <c r="C422" s="1" t="s">
        <v>0</v>
      </c>
      <c r="D422" s="1">
        <v>58.494110107421903</v>
      </c>
      <c r="E422" s="2">
        <v>46295.930567129632</v>
      </c>
      <c r="F422" s="1">
        <v>1300</v>
      </c>
      <c r="G422" s="1" t="s">
        <v>0</v>
      </c>
      <c r="H422" s="1">
        <v>9.8112487792968803</v>
      </c>
    </row>
    <row r="423" spans="1:8" ht="14.25" customHeight="1" x14ac:dyDescent="0.2">
      <c r="A423" s="2">
        <v>46295.930601851855</v>
      </c>
      <c r="B423" s="1">
        <v>1400</v>
      </c>
      <c r="C423" s="1" t="s">
        <v>0</v>
      </c>
      <c r="D423" s="1">
        <v>58.155670166015597</v>
      </c>
      <c r="E423" s="2">
        <v>46295.930601851855</v>
      </c>
      <c r="F423" s="1">
        <v>1400</v>
      </c>
      <c r="G423" s="1" t="s">
        <v>0</v>
      </c>
      <c r="H423" s="1">
        <v>10.0637817382813</v>
      </c>
    </row>
    <row r="424" spans="1:8" ht="14.25" customHeight="1" x14ac:dyDescent="0.2">
      <c r="A424" s="2">
        <v>46295.930636574078</v>
      </c>
      <c r="B424" s="1">
        <v>1500</v>
      </c>
      <c r="C424" s="1" t="s">
        <v>0</v>
      </c>
      <c r="D424" s="1">
        <v>60.5587768554688</v>
      </c>
      <c r="E424" s="2">
        <v>46295.930636574078</v>
      </c>
      <c r="F424" s="1">
        <v>1500</v>
      </c>
      <c r="G424" s="1" t="s">
        <v>0</v>
      </c>
      <c r="H424" s="1">
        <v>10.1974487304688</v>
      </c>
    </row>
    <row r="425" spans="1:8" ht="14.25" customHeight="1" x14ac:dyDescent="0.2">
      <c r="A425" s="2">
        <v>46295.930671296293</v>
      </c>
      <c r="B425" s="1">
        <v>1600</v>
      </c>
      <c r="C425" s="1" t="s">
        <v>0</v>
      </c>
      <c r="D425" s="1">
        <v>58.0404663085938</v>
      </c>
      <c r="E425" s="2">
        <v>46295.930671296293</v>
      </c>
      <c r="F425" s="1">
        <v>1600</v>
      </c>
      <c r="G425" s="1" t="s">
        <v>0</v>
      </c>
      <c r="H425" s="1">
        <v>10.401611328125</v>
      </c>
    </row>
    <row r="426" spans="1:8" ht="14.25" customHeight="1" x14ac:dyDescent="0.2">
      <c r="A426" s="2">
        <v>46295.930706018517</v>
      </c>
      <c r="B426" s="1">
        <v>1700</v>
      </c>
      <c r="C426" s="1" t="s">
        <v>0</v>
      </c>
      <c r="D426" s="1">
        <v>57.8466796875</v>
      </c>
      <c r="E426" s="2">
        <v>46295.930706018517</v>
      </c>
      <c r="F426" s="1">
        <v>1700</v>
      </c>
      <c r="G426" s="1" t="s">
        <v>0</v>
      </c>
      <c r="H426" s="1">
        <v>10.3414916992188</v>
      </c>
    </row>
    <row r="427" spans="1:8" ht="14.25" customHeight="1" x14ac:dyDescent="0.2">
      <c r="A427" s="2">
        <v>46295.93074074074</v>
      </c>
      <c r="B427" s="1">
        <v>1800</v>
      </c>
      <c r="C427" s="1" t="s">
        <v>0</v>
      </c>
      <c r="D427" s="1">
        <v>57.6953125</v>
      </c>
      <c r="E427" s="2">
        <v>46295.93074074074</v>
      </c>
      <c r="F427" s="1">
        <v>1800</v>
      </c>
      <c r="G427" s="1" t="s">
        <v>0</v>
      </c>
      <c r="H427" s="1">
        <v>10.75927734375</v>
      </c>
    </row>
    <row r="428" spans="1:8" ht="14.25" customHeight="1" x14ac:dyDescent="0.2">
      <c r="A428" s="2">
        <v>46295.930775462963</v>
      </c>
      <c r="B428" s="1">
        <v>1900</v>
      </c>
      <c r="C428" s="1" t="s">
        <v>0</v>
      </c>
      <c r="D428" s="1">
        <v>57.537841796875</v>
      </c>
      <c r="E428" s="2">
        <v>46295.930775462963</v>
      </c>
      <c r="F428" s="1">
        <v>1900</v>
      </c>
      <c r="G428" s="1" t="s">
        <v>0</v>
      </c>
      <c r="H428" s="1">
        <v>10.8659362792969</v>
      </c>
    </row>
    <row r="429" spans="1:8" ht="14.25" customHeight="1" x14ac:dyDescent="0.2">
      <c r="A429" s="2">
        <v>46295.930810185186</v>
      </c>
      <c r="B429" s="1">
        <v>2000</v>
      </c>
      <c r="C429" s="1" t="s">
        <v>0</v>
      </c>
      <c r="D429" s="1">
        <v>57.4765014648438</v>
      </c>
      <c r="E429" s="2">
        <v>46295.930810185186</v>
      </c>
      <c r="F429" s="1">
        <v>2000</v>
      </c>
      <c r="G429" s="1" t="s">
        <v>0</v>
      </c>
      <c r="H429" s="1">
        <v>11.3938903808594</v>
      </c>
    </row>
    <row r="430" spans="1:8" ht="14.25" customHeight="1" x14ac:dyDescent="0.2">
      <c r="A430" s="2">
        <v>46295.930844907409</v>
      </c>
      <c r="B430" s="1">
        <v>2100</v>
      </c>
      <c r="C430" s="1" t="s">
        <v>0</v>
      </c>
      <c r="D430" s="1">
        <v>57.371368408203097</v>
      </c>
      <c r="E430" s="2">
        <v>46295.930844907409</v>
      </c>
      <c r="F430" s="1">
        <v>2100</v>
      </c>
      <c r="G430" s="1" t="s">
        <v>0</v>
      </c>
      <c r="H430" s="1">
        <v>11.61376953125</v>
      </c>
    </row>
    <row r="431" spans="1:8" ht="14.25" customHeight="1" x14ac:dyDescent="0.2">
      <c r="A431" s="2">
        <v>46295.930879629632</v>
      </c>
      <c r="B431" s="1">
        <v>2200</v>
      </c>
      <c r="C431" s="1" t="s">
        <v>0</v>
      </c>
      <c r="D431" s="1">
        <v>57.225341796875</v>
      </c>
      <c r="E431" s="2">
        <v>46295.930879629632</v>
      </c>
      <c r="F431" s="1">
        <v>2200</v>
      </c>
      <c r="G431" s="1" t="s">
        <v>0</v>
      </c>
      <c r="H431" s="1">
        <v>11.6267395019531</v>
      </c>
    </row>
    <row r="432" spans="1:8" ht="14.25" customHeight="1" x14ac:dyDescent="0.2">
      <c r="A432" s="2">
        <v>46295.930914351855</v>
      </c>
      <c r="B432" s="1">
        <v>2300</v>
      </c>
      <c r="C432" s="1" t="s">
        <v>0</v>
      </c>
      <c r="D432" s="1">
        <v>57.109832763671903</v>
      </c>
      <c r="E432" s="2">
        <v>46295.930914351855</v>
      </c>
      <c r="F432" s="1">
        <v>2300</v>
      </c>
      <c r="G432" s="1" t="s">
        <v>0</v>
      </c>
      <c r="H432" s="1">
        <v>11.2301635742188</v>
      </c>
    </row>
    <row r="433" spans="1:8" ht="14.25" customHeight="1" x14ac:dyDescent="0.2">
      <c r="A433" s="2">
        <v>46295.930949074071</v>
      </c>
      <c r="B433" s="1">
        <v>2400</v>
      </c>
      <c r="C433" s="1" t="s">
        <v>0</v>
      </c>
      <c r="D433" s="1">
        <v>56.97265625</v>
      </c>
      <c r="E433" s="2">
        <v>46295.930949074071</v>
      </c>
      <c r="F433" s="1">
        <v>2400</v>
      </c>
      <c r="G433" s="1" t="s">
        <v>0</v>
      </c>
      <c r="H433" s="1">
        <v>11.2693786621094</v>
      </c>
    </row>
    <row r="434" spans="1:8" ht="14.25" customHeight="1" x14ac:dyDescent="0.2">
      <c r="A434" s="2">
        <v>46295.930983796294</v>
      </c>
      <c r="B434" s="1">
        <v>2500</v>
      </c>
      <c r="C434" s="1" t="s">
        <v>0</v>
      </c>
      <c r="D434" s="1">
        <v>56.993865966796903</v>
      </c>
      <c r="E434" s="2">
        <v>46295.930983796294</v>
      </c>
      <c r="F434" s="1">
        <v>2500</v>
      </c>
      <c r="G434" s="1" t="s">
        <v>0</v>
      </c>
      <c r="H434" s="1">
        <v>11.2898254394531</v>
      </c>
    </row>
    <row r="435" spans="1:8" ht="14.25" customHeight="1" x14ac:dyDescent="0.2">
      <c r="A435" s="2">
        <v>46295.931018518517</v>
      </c>
      <c r="B435" s="1">
        <v>2600</v>
      </c>
      <c r="C435" s="1" t="s">
        <v>0</v>
      </c>
      <c r="D435" s="1">
        <v>56.8963623046875</v>
      </c>
      <c r="E435" s="2">
        <v>46295.931018518517</v>
      </c>
      <c r="F435" s="1">
        <v>2600</v>
      </c>
      <c r="G435" s="1" t="s">
        <v>0</v>
      </c>
      <c r="H435" s="1">
        <v>11.5101623535156</v>
      </c>
    </row>
    <row r="436" spans="1:8" ht="14.25" customHeight="1" x14ac:dyDescent="0.2">
      <c r="A436" s="2">
        <v>46295.93105324074</v>
      </c>
      <c r="B436" s="1">
        <v>2700</v>
      </c>
      <c r="C436" s="1" t="s">
        <v>0</v>
      </c>
      <c r="D436" s="1">
        <v>56.818389892578097</v>
      </c>
      <c r="E436" s="2">
        <v>46295.93105324074</v>
      </c>
      <c r="F436" s="1">
        <v>2700</v>
      </c>
      <c r="G436" s="1" t="s">
        <v>0</v>
      </c>
      <c r="H436" s="1">
        <v>11.7007446289063</v>
      </c>
    </row>
    <row r="437" spans="1:8" ht="14.25" customHeight="1" x14ac:dyDescent="0.2">
      <c r="A437" s="2">
        <v>46295.931087962963</v>
      </c>
      <c r="B437" s="1">
        <v>2800</v>
      </c>
      <c r="C437" s="1" t="s">
        <v>0</v>
      </c>
      <c r="D437" s="1">
        <v>56.876068115234403</v>
      </c>
      <c r="E437" s="2">
        <v>46295.931087962963</v>
      </c>
      <c r="F437" s="1">
        <v>2800</v>
      </c>
      <c r="G437" s="1" t="s">
        <v>0</v>
      </c>
      <c r="H437" s="1">
        <v>12.1844482421875</v>
      </c>
    </row>
    <row r="438" spans="1:8" ht="14.25" customHeight="1" x14ac:dyDescent="0.2">
      <c r="A438" s="2">
        <v>46295.931122685186</v>
      </c>
      <c r="B438" s="1">
        <v>2900</v>
      </c>
      <c r="C438" s="1" t="s">
        <v>0</v>
      </c>
      <c r="D438" s="1">
        <v>56.7242431640625</v>
      </c>
      <c r="E438" s="2">
        <v>46295.931122685186</v>
      </c>
      <c r="F438" s="1">
        <v>2900</v>
      </c>
      <c r="G438" s="1" t="s">
        <v>0</v>
      </c>
      <c r="H438" s="1">
        <v>11.9119262695313</v>
      </c>
    </row>
    <row r="439" spans="1:8" ht="14.25" customHeight="1" x14ac:dyDescent="0.2">
      <c r="A439" s="2">
        <v>46295.931157407409</v>
      </c>
      <c r="B439" s="1">
        <v>3000</v>
      </c>
      <c r="C439" s="1" t="s">
        <v>0</v>
      </c>
      <c r="D439" s="1">
        <v>58.4686279296875</v>
      </c>
      <c r="E439" s="2">
        <v>46295.931157407409</v>
      </c>
      <c r="F439" s="1">
        <v>3000</v>
      </c>
      <c r="G439" s="1" t="s">
        <v>0</v>
      </c>
      <c r="H439" s="1">
        <v>12.1794128417969</v>
      </c>
    </row>
    <row r="440" spans="1:8" ht="14.25" customHeight="1" x14ac:dyDescent="0.2">
      <c r="A440" s="2">
        <v>46295.931192129632</v>
      </c>
      <c r="B440" s="1">
        <v>3100</v>
      </c>
      <c r="C440" s="1" t="s">
        <v>0</v>
      </c>
      <c r="D440" s="1">
        <v>59.281463623046903</v>
      </c>
      <c r="E440" s="2">
        <v>46295.931192129632</v>
      </c>
      <c r="F440" s="1">
        <v>3100</v>
      </c>
      <c r="G440" s="1" t="s">
        <v>0</v>
      </c>
      <c r="H440" s="1">
        <v>12.5009155273438</v>
      </c>
    </row>
    <row r="441" spans="1:8" ht="14.25" customHeight="1" x14ac:dyDescent="0.2">
      <c r="A441" s="2">
        <v>46295.931226851855</v>
      </c>
      <c r="B441" s="1">
        <v>3200</v>
      </c>
      <c r="C441" s="1" t="s">
        <v>0</v>
      </c>
      <c r="D441" s="1">
        <v>56.6622924804688</v>
      </c>
      <c r="E441" s="2">
        <v>46295.931226851855</v>
      </c>
      <c r="F441" s="1">
        <v>3200</v>
      </c>
      <c r="G441" s="1" t="s">
        <v>0</v>
      </c>
      <c r="H441" s="1">
        <v>12.3884582519531</v>
      </c>
    </row>
    <row r="442" spans="1:8" ht="14.25" customHeight="1" x14ac:dyDescent="0.2">
      <c r="A442" s="2">
        <v>46295.931261574071</v>
      </c>
      <c r="B442" s="1">
        <v>3300</v>
      </c>
      <c r="C442" s="1" t="s">
        <v>0</v>
      </c>
      <c r="D442" s="1">
        <v>56.3021850585938</v>
      </c>
      <c r="E442" s="2">
        <v>46295.931261574071</v>
      </c>
      <c r="F442" s="1">
        <v>3300</v>
      </c>
      <c r="G442" s="1" t="s">
        <v>0</v>
      </c>
      <c r="H442" s="1">
        <v>12.8874206542969</v>
      </c>
    </row>
    <row r="443" spans="1:8" ht="14.25" customHeight="1" x14ac:dyDescent="0.2">
      <c r="A443" s="2">
        <v>46295.931296296294</v>
      </c>
      <c r="B443" s="1">
        <v>3400</v>
      </c>
      <c r="C443" s="1" t="s">
        <v>0</v>
      </c>
      <c r="D443" s="1">
        <v>56.1367797851563</v>
      </c>
      <c r="E443" s="2">
        <v>46295.931296296294</v>
      </c>
      <c r="F443" s="1">
        <v>3400</v>
      </c>
      <c r="G443" s="1" t="s">
        <v>0</v>
      </c>
      <c r="H443" s="1">
        <v>12.4423217773438</v>
      </c>
    </row>
    <row r="444" spans="1:8" ht="14.25" customHeight="1" x14ac:dyDescent="0.2">
      <c r="A444" s="2">
        <v>46295.931331018517</v>
      </c>
      <c r="B444" s="1">
        <v>3500</v>
      </c>
      <c r="C444" s="1" t="s">
        <v>0</v>
      </c>
      <c r="D444" s="1">
        <v>55.9878540039063</v>
      </c>
      <c r="E444" s="2">
        <v>46295.931331018517</v>
      </c>
      <c r="F444" s="1">
        <v>3500</v>
      </c>
      <c r="G444" s="1" t="s">
        <v>0</v>
      </c>
      <c r="H444" s="1">
        <v>12.3947143554688</v>
      </c>
    </row>
    <row r="445" spans="1:8" ht="14.25" customHeight="1" x14ac:dyDescent="0.2">
      <c r="A445" s="2">
        <v>46295.93136574074</v>
      </c>
      <c r="B445" s="1">
        <v>3600</v>
      </c>
      <c r="C445" s="1" t="s">
        <v>0</v>
      </c>
      <c r="D445" s="1">
        <v>55.8413696289063</v>
      </c>
      <c r="E445" s="2">
        <v>46295.93136574074</v>
      </c>
      <c r="F445" s="1">
        <v>3600</v>
      </c>
      <c r="G445" s="1" t="s">
        <v>0</v>
      </c>
      <c r="H445" s="1">
        <v>12.6878356933594</v>
      </c>
    </row>
    <row r="446" spans="1:8" ht="14.25" customHeight="1" x14ac:dyDescent="0.2">
      <c r="A446" s="2">
        <v>46295.931400462963</v>
      </c>
      <c r="B446" s="1">
        <v>3700</v>
      </c>
      <c r="C446" s="1" t="s">
        <v>0</v>
      </c>
      <c r="D446" s="1">
        <v>55.739288330078097</v>
      </c>
      <c r="E446" s="2">
        <v>46295.931400462963</v>
      </c>
      <c r="F446" s="1">
        <v>3700</v>
      </c>
      <c r="G446" s="1" t="s">
        <v>0</v>
      </c>
      <c r="H446" s="1">
        <v>12.6596069335938</v>
      </c>
    </row>
    <row r="447" spans="1:8" ht="14.25" customHeight="1" x14ac:dyDescent="0.2">
      <c r="A447" s="2">
        <v>46295.931435185186</v>
      </c>
      <c r="B447" s="1">
        <v>3800</v>
      </c>
      <c r="C447" s="1" t="s">
        <v>0</v>
      </c>
      <c r="D447" s="1">
        <v>55.6292724609375</v>
      </c>
      <c r="E447" s="2">
        <v>46295.931435185186</v>
      </c>
      <c r="F447" s="1">
        <v>3800</v>
      </c>
      <c r="G447" s="1" t="s">
        <v>0</v>
      </c>
      <c r="H447" s="1">
        <v>12.8437805175781</v>
      </c>
    </row>
    <row r="448" spans="1:8" ht="14.25" customHeight="1" x14ac:dyDescent="0.2">
      <c r="A448" s="2">
        <v>46295.931481481479</v>
      </c>
      <c r="B448" s="1">
        <v>3900</v>
      </c>
      <c r="C448" s="1" t="s">
        <v>0</v>
      </c>
      <c r="D448" s="1">
        <v>55.518951416015597</v>
      </c>
      <c r="E448" s="2">
        <v>46295.931481481479</v>
      </c>
      <c r="F448" s="1">
        <v>3900</v>
      </c>
      <c r="G448" s="1" t="s">
        <v>0</v>
      </c>
      <c r="H448" s="1">
        <v>12.9437255859375</v>
      </c>
    </row>
    <row r="449" spans="1:8" ht="14.25" customHeight="1" x14ac:dyDescent="0.2">
      <c r="A449" s="2">
        <v>46295.931516203702</v>
      </c>
      <c r="B449" s="1">
        <v>4000</v>
      </c>
      <c r="C449" s="1" t="s">
        <v>0</v>
      </c>
      <c r="D449" s="1">
        <v>55.430450439453097</v>
      </c>
      <c r="E449" s="2">
        <v>46295.931516203702</v>
      </c>
      <c r="F449" s="1">
        <v>4000</v>
      </c>
      <c r="G449" s="1" t="s">
        <v>0</v>
      </c>
      <c r="H449" s="1">
        <v>13.4869384765625</v>
      </c>
    </row>
    <row r="450" spans="1:8" ht="14.25" customHeight="1" x14ac:dyDescent="0.2">
      <c r="A450" s="2">
        <v>46295.931550925925</v>
      </c>
      <c r="B450" s="1">
        <v>4100</v>
      </c>
      <c r="C450" s="1" t="s">
        <v>0</v>
      </c>
      <c r="D450" s="1">
        <v>55.359344482421903</v>
      </c>
      <c r="E450" s="2">
        <v>46295.931550925925</v>
      </c>
      <c r="F450" s="1">
        <v>4100</v>
      </c>
      <c r="G450" s="1" t="s">
        <v>0</v>
      </c>
      <c r="H450" s="1">
        <v>14.2062377929688</v>
      </c>
    </row>
    <row r="451" spans="1:8" ht="14.25" customHeight="1" x14ac:dyDescent="0.2">
      <c r="A451" s="2">
        <v>46295.931585648148</v>
      </c>
      <c r="B451" s="1">
        <v>4200</v>
      </c>
      <c r="C451" s="1" t="s">
        <v>0</v>
      </c>
      <c r="D451" s="1">
        <v>55.274658203125</v>
      </c>
      <c r="E451" s="2">
        <v>46295.931585648148</v>
      </c>
      <c r="F451" s="1">
        <v>4200</v>
      </c>
      <c r="G451" s="1" t="s">
        <v>0</v>
      </c>
      <c r="H451" s="1">
        <v>14.2955017089844</v>
      </c>
    </row>
    <row r="452" spans="1:8" ht="14.25" customHeight="1" x14ac:dyDescent="0.2">
      <c r="A452" s="2">
        <v>46295.931620370371</v>
      </c>
      <c r="B452" s="1">
        <v>4300</v>
      </c>
      <c r="C452" s="1" t="s">
        <v>0</v>
      </c>
      <c r="D452" s="1">
        <v>55.1922607421875</v>
      </c>
      <c r="E452" s="2">
        <v>46295.931620370371</v>
      </c>
      <c r="F452" s="1">
        <v>4300</v>
      </c>
      <c r="G452" s="1" t="s">
        <v>0</v>
      </c>
      <c r="H452" s="1">
        <v>14.1586303710938</v>
      </c>
    </row>
    <row r="453" spans="1:8" ht="14.25" customHeight="1" x14ac:dyDescent="0.2">
      <c r="A453" s="2">
        <v>46295.931655092594</v>
      </c>
      <c r="B453" s="1">
        <v>4400</v>
      </c>
      <c r="C453" s="1" t="s">
        <v>0</v>
      </c>
      <c r="D453" s="1">
        <v>55.0982666015625</v>
      </c>
      <c r="E453" s="2">
        <v>46295.931655092594</v>
      </c>
      <c r="F453" s="1">
        <v>4400</v>
      </c>
      <c r="G453" s="1" t="s">
        <v>0</v>
      </c>
      <c r="H453" s="1">
        <v>13.6619567871094</v>
      </c>
    </row>
    <row r="454" spans="1:8" ht="14.25" customHeight="1" x14ac:dyDescent="0.2">
      <c r="A454" s="2">
        <v>46295.931689814817</v>
      </c>
      <c r="B454" s="1">
        <v>4500</v>
      </c>
      <c r="C454" s="1" t="s">
        <v>0</v>
      </c>
      <c r="D454" s="1">
        <v>55.0759887695313</v>
      </c>
      <c r="E454" s="2">
        <v>46295.931689814817</v>
      </c>
      <c r="F454" s="1">
        <v>4500</v>
      </c>
      <c r="G454" s="1" t="s">
        <v>0</v>
      </c>
      <c r="H454" s="1">
        <v>13.9888000488281</v>
      </c>
    </row>
    <row r="455" spans="1:8" ht="14.25" customHeight="1" x14ac:dyDescent="0.2">
      <c r="A455" s="2">
        <v>46295.93172453704</v>
      </c>
      <c r="B455" s="1">
        <v>4600</v>
      </c>
      <c r="C455" s="1" t="s">
        <v>0</v>
      </c>
      <c r="D455" s="1">
        <v>54.9478149414063</v>
      </c>
      <c r="E455" s="2">
        <v>46295.93172453704</v>
      </c>
      <c r="F455" s="1">
        <v>4600</v>
      </c>
      <c r="G455" s="1" t="s">
        <v>0</v>
      </c>
      <c r="H455" s="1">
        <v>13.4974670410156</v>
      </c>
    </row>
    <row r="456" spans="1:8" ht="14.25" customHeight="1" x14ac:dyDescent="0.2">
      <c r="A456" s="2">
        <v>46295.931759259256</v>
      </c>
      <c r="B456" s="1">
        <v>4700</v>
      </c>
      <c r="C456" s="1" t="s">
        <v>0</v>
      </c>
      <c r="D456" s="1">
        <v>54.8629760742188</v>
      </c>
      <c r="E456" s="2">
        <v>46295.931759259256</v>
      </c>
      <c r="F456" s="1">
        <v>4700</v>
      </c>
      <c r="G456" s="1" t="s">
        <v>0</v>
      </c>
      <c r="H456" s="1">
        <v>13.7080383300781</v>
      </c>
    </row>
    <row r="457" spans="1:8" ht="14.25" customHeight="1" x14ac:dyDescent="0.2">
      <c r="A457" s="2">
        <v>46295.931793981479</v>
      </c>
      <c r="B457" s="1">
        <v>4800</v>
      </c>
      <c r="C457" s="1" t="s">
        <v>0</v>
      </c>
      <c r="D457" s="1">
        <v>54.802398681640597</v>
      </c>
      <c r="E457" s="2">
        <v>46295.931793981479</v>
      </c>
      <c r="F457" s="1">
        <v>4800</v>
      </c>
      <c r="G457" s="1" t="s">
        <v>0</v>
      </c>
      <c r="H457" s="1">
        <v>13.8240051269531</v>
      </c>
    </row>
    <row r="458" spans="1:8" ht="14.25" customHeight="1" x14ac:dyDescent="0.2">
      <c r="A458" s="2">
        <v>46295.931828703702</v>
      </c>
      <c r="B458" s="1">
        <v>4900</v>
      </c>
      <c r="C458" s="1" t="s">
        <v>0</v>
      </c>
      <c r="D458" s="1">
        <v>54.7088623046875</v>
      </c>
      <c r="E458" s="2">
        <v>46295.931828703702</v>
      </c>
      <c r="F458" s="1">
        <v>4900</v>
      </c>
      <c r="G458" s="1" t="s">
        <v>0</v>
      </c>
      <c r="H458" s="1">
        <v>13.9945983886719</v>
      </c>
    </row>
    <row r="459" spans="1:8" ht="14.25" customHeight="1" x14ac:dyDescent="0.2">
      <c r="A459" s="2">
        <v>46295.931863425925</v>
      </c>
      <c r="B459" s="1">
        <v>5000</v>
      </c>
      <c r="C459" s="1" t="s">
        <v>0</v>
      </c>
      <c r="D459" s="1">
        <v>54.651641845703097</v>
      </c>
      <c r="E459" s="2">
        <v>46295.931863425925</v>
      </c>
      <c r="F459" s="1">
        <v>5000</v>
      </c>
      <c r="G459" s="1" t="s">
        <v>0</v>
      </c>
      <c r="H459" s="1">
        <v>14.171142578125</v>
      </c>
    </row>
    <row r="460" spans="1:8" ht="14.2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4.25" customHeight="1" x14ac:dyDescent="0.2">
      <c r="A461" s="2">
        <v>46295.933321759258</v>
      </c>
      <c r="B461" s="1">
        <v>5500</v>
      </c>
      <c r="C461" s="1" t="s">
        <v>0</v>
      </c>
      <c r="D461" s="1">
        <v>53.654937744140597</v>
      </c>
      <c r="E461" s="2">
        <v>46295.933321759258</v>
      </c>
      <c r="F461" s="1">
        <v>5500</v>
      </c>
      <c r="G461" s="1" t="s">
        <v>0</v>
      </c>
      <c r="H461" s="1">
        <v>15.6007385253906</v>
      </c>
    </row>
    <row r="462" spans="1:8" ht="14.25" customHeight="1" x14ac:dyDescent="0.2">
      <c r="A462" s="2">
        <v>46295.933356481481</v>
      </c>
      <c r="B462" s="1">
        <v>6000</v>
      </c>
      <c r="C462" s="1" t="s">
        <v>0</v>
      </c>
      <c r="D462" s="1">
        <v>53.721160888671903</v>
      </c>
      <c r="E462" s="2">
        <v>46295.933356481481</v>
      </c>
      <c r="F462" s="1">
        <v>6000</v>
      </c>
      <c r="G462" s="1" t="s">
        <v>0</v>
      </c>
      <c r="H462" s="1">
        <v>15.7040405273438</v>
      </c>
    </row>
    <row r="463" spans="1:8" ht="14.25" customHeight="1" x14ac:dyDescent="0.2">
      <c r="A463" s="2">
        <v>46295.933391203704</v>
      </c>
      <c r="B463" s="1">
        <v>6500</v>
      </c>
      <c r="C463" s="1" t="s">
        <v>0</v>
      </c>
      <c r="D463" s="1">
        <v>53.459625244140597</v>
      </c>
      <c r="E463" s="2">
        <v>46295.933391203704</v>
      </c>
      <c r="F463" s="1">
        <v>6500</v>
      </c>
      <c r="G463" s="1" t="s">
        <v>0</v>
      </c>
      <c r="H463" s="1">
        <v>16.4324951171875</v>
      </c>
    </row>
    <row r="464" spans="1:8" ht="14.25" customHeight="1" x14ac:dyDescent="0.2">
      <c r="A464" s="2">
        <v>46295.933425925927</v>
      </c>
      <c r="B464" s="1">
        <v>7000</v>
      </c>
      <c r="C464" s="1" t="s">
        <v>0</v>
      </c>
      <c r="D464" s="1">
        <v>52.946319580078097</v>
      </c>
      <c r="E464" s="2">
        <v>46295.933425925927</v>
      </c>
      <c r="F464" s="1">
        <v>7000</v>
      </c>
      <c r="G464" s="1" t="s">
        <v>0</v>
      </c>
      <c r="H464" s="1">
        <v>18.1434631347656</v>
      </c>
    </row>
    <row r="465" spans="1:8" ht="14.25" customHeight="1" x14ac:dyDescent="0.2">
      <c r="A465" s="2">
        <v>46295.93346064815</v>
      </c>
      <c r="B465" s="1">
        <v>7500</v>
      </c>
      <c r="C465" s="1" t="s">
        <v>0</v>
      </c>
      <c r="D465" s="1">
        <v>52.718048095703097</v>
      </c>
      <c r="E465" s="2">
        <v>46295.93346064815</v>
      </c>
      <c r="F465" s="1">
        <v>7500</v>
      </c>
      <c r="G465" s="1" t="s">
        <v>0</v>
      </c>
      <c r="H465" s="1">
        <v>16.9306945800781</v>
      </c>
    </row>
    <row r="466" spans="1:8" ht="14.25" customHeight="1" x14ac:dyDescent="0.2">
      <c r="A466" s="2">
        <v>46295.933495370373</v>
      </c>
      <c r="B466" s="1">
        <v>8000</v>
      </c>
      <c r="C466" s="1" t="s">
        <v>0</v>
      </c>
      <c r="D466" s="1">
        <v>52.608642578125</v>
      </c>
      <c r="E466" s="2">
        <v>46295.933495370373</v>
      </c>
      <c r="F466" s="1">
        <v>8000</v>
      </c>
      <c r="G466" s="1" t="s">
        <v>0</v>
      </c>
      <c r="H466" s="1">
        <v>17.4224853515625</v>
      </c>
    </row>
    <row r="467" spans="1:8" ht="14.25" customHeight="1" x14ac:dyDescent="0.2">
      <c r="A467" s="2">
        <v>46295.933530092596</v>
      </c>
      <c r="B467" s="1">
        <v>8500</v>
      </c>
      <c r="C467" s="1" t="s">
        <v>0</v>
      </c>
      <c r="D467" s="1">
        <v>52.5930786132813</v>
      </c>
      <c r="E467" s="2">
        <v>46295.933530092596</v>
      </c>
      <c r="F467" s="1">
        <v>8500</v>
      </c>
      <c r="G467" s="1" t="s">
        <v>0</v>
      </c>
      <c r="H467" s="1">
        <v>18.038330078125</v>
      </c>
    </row>
    <row r="468" spans="1:8" ht="14.25" customHeight="1" x14ac:dyDescent="0.2">
      <c r="A468" s="2">
        <v>46295.933564814812</v>
      </c>
      <c r="B468" s="1">
        <v>9000</v>
      </c>
      <c r="C468" s="1" t="s">
        <v>0</v>
      </c>
      <c r="D468" s="1">
        <v>52.4832153320313</v>
      </c>
      <c r="E468" s="2">
        <v>46295.933564814812</v>
      </c>
      <c r="F468" s="1">
        <v>9000</v>
      </c>
      <c r="G468" s="1" t="s">
        <v>0</v>
      </c>
      <c r="H468" s="1">
        <v>18.541259765625</v>
      </c>
    </row>
    <row r="469" spans="1:8" ht="14.25" customHeight="1" x14ac:dyDescent="0.2">
      <c r="A469" s="2">
        <v>46295.933599537035</v>
      </c>
      <c r="B469" s="1">
        <v>9500</v>
      </c>
      <c r="C469" s="1" t="s">
        <v>0</v>
      </c>
      <c r="D469" s="1">
        <v>52.615509033203097</v>
      </c>
      <c r="E469" s="2">
        <v>46295.933599537035</v>
      </c>
      <c r="F469" s="1">
        <v>9500</v>
      </c>
      <c r="G469" s="1" t="s">
        <v>0</v>
      </c>
      <c r="H469" s="1">
        <v>21.6018676757813</v>
      </c>
    </row>
    <row r="470" spans="1:8" ht="14.25" customHeight="1" x14ac:dyDescent="0.2">
      <c r="A470" s="2">
        <v>46295.933634259258</v>
      </c>
      <c r="B470" s="1">
        <v>10000</v>
      </c>
      <c r="C470" s="1" t="s">
        <v>0</v>
      </c>
      <c r="D470" s="1">
        <v>52.42919921875</v>
      </c>
      <c r="E470" s="2">
        <v>46295.933634259258</v>
      </c>
      <c r="F470" s="1">
        <v>10000</v>
      </c>
      <c r="G470" s="1" t="s">
        <v>0</v>
      </c>
      <c r="H470" s="1">
        <v>18.6822509765625</v>
      </c>
    </row>
    <row r="471" spans="1:8" ht="14.25" customHeight="1" x14ac:dyDescent="0.2">
      <c r="A471" s="2">
        <v>46295.933668981481</v>
      </c>
      <c r="B471" s="1">
        <v>10500</v>
      </c>
      <c r="C471" s="1" t="s">
        <v>0</v>
      </c>
      <c r="D471" s="1">
        <v>52.387542724609403</v>
      </c>
      <c r="E471" s="2">
        <v>46295.933668981481</v>
      </c>
      <c r="F471" s="1">
        <v>10500</v>
      </c>
      <c r="G471" s="1" t="s">
        <v>0</v>
      </c>
      <c r="H471" s="1">
        <v>16.5478515625</v>
      </c>
    </row>
    <row r="472" spans="1:8" ht="14.25" customHeight="1" x14ac:dyDescent="0.2">
      <c r="A472" s="2">
        <v>46295.933703703704</v>
      </c>
      <c r="B472" s="1">
        <v>11000</v>
      </c>
      <c r="C472" s="1" t="s">
        <v>0</v>
      </c>
      <c r="D472" s="1">
        <v>52.305908203125</v>
      </c>
      <c r="E472" s="2">
        <v>46295.933703703704</v>
      </c>
      <c r="F472" s="1">
        <v>11000</v>
      </c>
      <c r="G472" s="1" t="s">
        <v>0</v>
      </c>
      <c r="H472" s="1">
        <v>16.4993286132813</v>
      </c>
    </row>
    <row r="473" spans="1:8" ht="14.25" customHeight="1" x14ac:dyDescent="0.2">
      <c r="A473" s="2">
        <v>46295.933738425927</v>
      </c>
      <c r="B473" s="1">
        <v>11500</v>
      </c>
      <c r="C473" s="1" t="s">
        <v>0</v>
      </c>
      <c r="D473" s="1">
        <v>52.1929931640625</v>
      </c>
      <c r="E473" s="2">
        <v>46295.933738425927</v>
      </c>
      <c r="F473" s="1">
        <v>11500</v>
      </c>
      <c r="G473" s="1" t="s">
        <v>0</v>
      </c>
      <c r="H473" s="1">
        <v>16.1137390136719</v>
      </c>
    </row>
    <row r="474" spans="1:8" ht="14.25" customHeight="1" x14ac:dyDescent="0.2">
      <c r="A474" s="2">
        <v>46295.93377314815</v>
      </c>
      <c r="B474" s="1">
        <v>12000</v>
      </c>
      <c r="C474" s="1" t="s">
        <v>0</v>
      </c>
      <c r="D474" s="1">
        <v>52.147216796875</v>
      </c>
      <c r="E474" s="2">
        <v>46295.93377314815</v>
      </c>
      <c r="F474" s="1">
        <v>12000</v>
      </c>
      <c r="G474" s="1" t="s">
        <v>0</v>
      </c>
      <c r="H474" s="1">
        <v>21.6824340820313</v>
      </c>
    </row>
    <row r="475" spans="1:8" ht="14.25" customHeight="1" x14ac:dyDescent="0.2">
      <c r="A475" s="2">
        <v>46295.933807870373</v>
      </c>
      <c r="B475" s="1">
        <v>12500</v>
      </c>
      <c r="C475" s="1" t="s">
        <v>0</v>
      </c>
      <c r="D475" s="1">
        <v>52.110443115234403</v>
      </c>
      <c r="E475" s="2">
        <v>46295.933807870373</v>
      </c>
      <c r="F475" s="1">
        <v>12500</v>
      </c>
      <c r="G475" s="1" t="s">
        <v>0</v>
      </c>
      <c r="H475" s="1">
        <v>19.2677307128906</v>
      </c>
    </row>
    <row r="476" spans="1:8" ht="14.25" customHeight="1" x14ac:dyDescent="0.2">
      <c r="A476" s="2">
        <v>46295.933842592596</v>
      </c>
      <c r="B476" s="1">
        <v>13000</v>
      </c>
      <c r="C476" s="1" t="s">
        <v>0</v>
      </c>
      <c r="D476" s="1">
        <v>52.222137451171903</v>
      </c>
      <c r="E476" s="2">
        <v>46295.933842592596</v>
      </c>
      <c r="F476" s="1">
        <v>13000</v>
      </c>
      <c r="G476" s="1" t="s">
        <v>0</v>
      </c>
      <c r="H476" s="1">
        <v>20.32958984375</v>
      </c>
    </row>
    <row r="477" spans="1:8" ht="14.25" customHeight="1" x14ac:dyDescent="0.2">
      <c r="A477" s="2">
        <v>46295.933877314812</v>
      </c>
      <c r="B477" s="1">
        <v>13500</v>
      </c>
      <c r="C477" s="1" t="s">
        <v>0</v>
      </c>
      <c r="D477" s="1">
        <v>52.1237182617188</v>
      </c>
      <c r="E477" s="2">
        <v>46295.933877314812</v>
      </c>
      <c r="F477" s="1">
        <v>13500</v>
      </c>
      <c r="G477" s="1" t="s">
        <v>0</v>
      </c>
      <c r="H477" s="1">
        <v>20.3504943847656</v>
      </c>
    </row>
    <row r="478" spans="1:8" ht="14.25" customHeight="1" x14ac:dyDescent="0.2">
      <c r="A478" s="2">
        <v>46295.933912037035</v>
      </c>
      <c r="B478" s="1">
        <v>14000</v>
      </c>
      <c r="C478" s="1" t="s">
        <v>0</v>
      </c>
      <c r="D478" s="1">
        <v>52.141571044921903</v>
      </c>
      <c r="E478" s="2">
        <v>46295.933912037035</v>
      </c>
      <c r="F478" s="1">
        <v>14000</v>
      </c>
      <c r="G478" s="1" t="s">
        <v>0</v>
      </c>
      <c r="H478" s="1">
        <v>20.2726745605469</v>
      </c>
    </row>
    <row r="479" spans="1:8" ht="14.25" customHeight="1" x14ac:dyDescent="0.2">
      <c r="A479" s="2">
        <v>46295.933946759258</v>
      </c>
      <c r="B479" s="1">
        <v>14500</v>
      </c>
      <c r="C479" s="1" t="s">
        <v>0</v>
      </c>
      <c r="D479" s="1">
        <v>52.437744140625</v>
      </c>
      <c r="E479" s="2">
        <v>46295.933946759258</v>
      </c>
      <c r="F479" s="1">
        <v>14500</v>
      </c>
      <c r="G479" s="1" t="s">
        <v>0</v>
      </c>
      <c r="H479" s="1">
        <v>21.2020874023438</v>
      </c>
    </row>
    <row r="480" spans="1:8" ht="14.25" customHeight="1" x14ac:dyDescent="0.2">
      <c r="A480" s="2">
        <v>46295.933981481481</v>
      </c>
      <c r="B480" s="1">
        <v>15000</v>
      </c>
      <c r="C480" s="1" t="s">
        <v>0</v>
      </c>
      <c r="D480" s="1">
        <v>52.6141357421875</v>
      </c>
      <c r="E480" s="2">
        <v>46295.933981481481</v>
      </c>
      <c r="F480" s="1">
        <v>15000</v>
      </c>
      <c r="G480" s="1" t="s">
        <v>0</v>
      </c>
      <c r="H480" s="1">
        <v>20.7057189941406</v>
      </c>
    </row>
    <row r="481" spans="1:8" ht="14.25" customHeight="1" x14ac:dyDescent="0.2">
      <c r="A481" s="2">
        <v>46295.934016203704</v>
      </c>
      <c r="B481" s="1">
        <v>15500</v>
      </c>
      <c r="C481" s="1" t="s">
        <v>0</v>
      </c>
      <c r="D481" s="1">
        <v>52.0767211914063</v>
      </c>
      <c r="E481" s="2">
        <v>46295.934016203704</v>
      </c>
      <c r="F481" s="1">
        <v>15500</v>
      </c>
      <c r="G481" s="1" t="s">
        <v>0</v>
      </c>
      <c r="H481" s="1">
        <v>21.1378479003906</v>
      </c>
    </row>
    <row r="482" spans="1:8" ht="14.25" customHeight="1" x14ac:dyDescent="0.2">
      <c r="A482" s="2">
        <v>46295.934050925927</v>
      </c>
      <c r="B482" s="1">
        <v>16000</v>
      </c>
      <c r="C482" s="1" t="s">
        <v>0</v>
      </c>
      <c r="D482" s="1">
        <v>52.1713256835938</v>
      </c>
      <c r="E482" s="2">
        <v>46295.934050925927</v>
      </c>
      <c r="F482" s="1">
        <v>16000</v>
      </c>
      <c r="G482" s="1" t="s">
        <v>0</v>
      </c>
      <c r="H482" s="1">
        <v>20.7424926757813</v>
      </c>
    </row>
    <row r="483" spans="1:8" ht="14.25" customHeight="1" x14ac:dyDescent="0.2">
      <c r="A483" s="2">
        <v>46295.93408564815</v>
      </c>
      <c r="B483" s="1">
        <v>16500</v>
      </c>
      <c r="C483" s="1" t="s">
        <v>0</v>
      </c>
      <c r="D483" s="1">
        <v>51.978607177734403</v>
      </c>
      <c r="E483" s="2">
        <v>46295.93408564815</v>
      </c>
      <c r="F483" s="1">
        <v>16500</v>
      </c>
      <c r="G483" s="1" t="s">
        <v>0</v>
      </c>
      <c r="H483" s="1">
        <v>20.7534790039063</v>
      </c>
    </row>
    <row r="484" spans="1:8" ht="14.25" customHeight="1" x14ac:dyDescent="0.2">
      <c r="A484" s="2">
        <v>46295.934120370373</v>
      </c>
      <c r="B484" s="1">
        <v>17000</v>
      </c>
      <c r="C484" s="1" t="s">
        <v>0</v>
      </c>
      <c r="D484" s="1">
        <v>51.884765625</v>
      </c>
      <c r="E484" s="2">
        <v>46295.934120370373</v>
      </c>
      <c r="F484" s="1">
        <v>17000</v>
      </c>
      <c r="G484" s="1" t="s">
        <v>0</v>
      </c>
      <c r="H484" s="1">
        <v>20.028076171875</v>
      </c>
    </row>
    <row r="485" spans="1:8" ht="14.25" customHeight="1" x14ac:dyDescent="0.2">
      <c r="A485" s="2">
        <v>46295.934155092589</v>
      </c>
      <c r="B485" s="1">
        <v>17500</v>
      </c>
      <c r="C485" s="1" t="s">
        <v>0</v>
      </c>
      <c r="D485" s="1">
        <v>51.941680908203097</v>
      </c>
      <c r="E485" s="2">
        <v>46295.934155092589</v>
      </c>
      <c r="F485" s="1">
        <v>17500</v>
      </c>
      <c r="G485" s="1" t="s">
        <v>0</v>
      </c>
      <c r="H485" s="1">
        <v>20.142822265625</v>
      </c>
    </row>
    <row r="486" spans="1:8" ht="14.25" customHeight="1" x14ac:dyDescent="0.2">
      <c r="A486" s="2">
        <v>46295.934189814812</v>
      </c>
      <c r="B486" s="1">
        <v>18000</v>
      </c>
      <c r="C486" s="1" t="s">
        <v>0</v>
      </c>
      <c r="D486" s="1">
        <v>51.9320678710938</v>
      </c>
      <c r="E486" s="2">
        <v>46295.934189814812</v>
      </c>
      <c r="F486" s="1">
        <v>18000</v>
      </c>
      <c r="G486" s="1" t="s">
        <v>0</v>
      </c>
      <c r="H486" s="1">
        <v>20.2238464355469</v>
      </c>
    </row>
    <row r="487" spans="1:8" ht="14.25" customHeight="1" x14ac:dyDescent="0.2">
      <c r="A487" s="2">
        <v>46295.934224537035</v>
      </c>
      <c r="B487" s="1">
        <v>18500</v>
      </c>
      <c r="C487" s="1" t="s">
        <v>0</v>
      </c>
      <c r="D487" s="1">
        <v>51.76513671875</v>
      </c>
      <c r="E487" s="2">
        <v>46295.934224537035</v>
      </c>
      <c r="F487" s="1">
        <v>18500</v>
      </c>
      <c r="G487" s="1" t="s">
        <v>0</v>
      </c>
      <c r="H487" s="1">
        <v>20.3208923339844</v>
      </c>
    </row>
    <row r="488" spans="1:8" ht="14.25" customHeight="1" x14ac:dyDescent="0.2">
      <c r="A488" s="2">
        <v>46295.934259259258</v>
      </c>
      <c r="B488" s="1">
        <v>19000</v>
      </c>
      <c r="C488" s="1" t="s">
        <v>0</v>
      </c>
      <c r="D488" s="1">
        <v>51.90673828125</v>
      </c>
      <c r="E488" s="2">
        <v>46295.934259259258</v>
      </c>
      <c r="F488" s="1">
        <v>19000</v>
      </c>
      <c r="G488" s="1" t="s">
        <v>0</v>
      </c>
      <c r="H488" s="1">
        <v>20.4902648925781</v>
      </c>
    </row>
    <row r="489" spans="1:8" ht="14.25" customHeight="1" x14ac:dyDescent="0.2">
      <c r="A489" s="2">
        <v>46295.934421296297</v>
      </c>
      <c r="B489" s="1">
        <v>19500</v>
      </c>
      <c r="C489" s="1" t="s">
        <v>0</v>
      </c>
      <c r="D489" s="1">
        <v>52.247772216796903</v>
      </c>
      <c r="E489" s="2">
        <v>46295.934421296297</v>
      </c>
      <c r="F489" s="1">
        <v>19500</v>
      </c>
      <c r="G489" s="1" t="s">
        <v>0</v>
      </c>
      <c r="H489" s="1">
        <v>20.7650756835938</v>
      </c>
    </row>
    <row r="490" spans="1:8" ht="14.25" customHeight="1" x14ac:dyDescent="0.2">
      <c r="A490" s="2">
        <v>46295.93445601852</v>
      </c>
      <c r="B490" s="1">
        <v>20000</v>
      </c>
      <c r="C490" s="1" t="s">
        <v>0</v>
      </c>
      <c r="D490" s="1">
        <v>52.607574462890597</v>
      </c>
      <c r="E490" s="2">
        <v>46295.93445601852</v>
      </c>
      <c r="F490" s="1">
        <v>20000</v>
      </c>
      <c r="G490" s="1" t="s">
        <v>0</v>
      </c>
      <c r="H490" s="1">
        <v>20.7933044433594</v>
      </c>
    </row>
    <row r="491" spans="1:8" ht="14.2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4.25" customHeight="1" x14ac:dyDescent="0.2">
      <c r="A492" s="2">
        <v>46295.935127314813</v>
      </c>
      <c r="B492" s="1">
        <v>20000</v>
      </c>
      <c r="C492" s="1" t="s">
        <v>0</v>
      </c>
      <c r="D492" s="1">
        <v>51.597900390625</v>
      </c>
      <c r="E492" s="2">
        <v>46295.935127314813</v>
      </c>
      <c r="F492" s="1">
        <v>20000</v>
      </c>
      <c r="G492" s="1" t="s">
        <v>0</v>
      </c>
      <c r="H492" s="1">
        <v>20.4887390136719</v>
      </c>
    </row>
    <row r="493" spans="1:8" ht="14.25" customHeight="1" x14ac:dyDescent="0.2">
      <c r="A493" s="2">
        <v>46295.935162037036</v>
      </c>
      <c r="B493" s="1">
        <v>19500</v>
      </c>
      <c r="C493" s="1" t="s">
        <v>0</v>
      </c>
      <c r="D493" s="1">
        <v>51.7630004882813</v>
      </c>
      <c r="E493" s="2">
        <v>46295.935162037036</v>
      </c>
      <c r="F493" s="1">
        <v>19500</v>
      </c>
      <c r="G493" s="1" t="s">
        <v>0</v>
      </c>
      <c r="H493" s="1">
        <v>20.3289794921875</v>
      </c>
    </row>
    <row r="494" spans="1:8" ht="14.25" customHeight="1" x14ac:dyDescent="0.2">
      <c r="A494" s="2">
        <v>46295.935196759259</v>
      </c>
      <c r="B494" s="1">
        <v>19000</v>
      </c>
      <c r="C494" s="1" t="s">
        <v>0</v>
      </c>
      <c r="D494" s="1">
        <v>51.9952392578125</v>
      </c>
      <c r="E494" s="2">
        <v>46295.935196759259</v>
      </c>
      <c r="F494" s="1">
        <v>19000</v>
      </c>
      <c r="G494" s="1" t="s">
        <v>0</v>
      </c>
      <c r="H494" s="1">
        <v>21.1613464355469</v>
      </c>
    </row>
    <row r="495" spans="1:8" ht="14.25" customHeight="1" x14ac:dyDescent="0.2">
      <c r="A495" s="2">
        <v>46295.935231481482</v>
      </c>
      <c r="B495" s="1">
        <v>18500</v>
      </c>
      <c r="C495" s="1" t="s">
        <v>0</v>
      </c>
      <c r="D495" s="1">
        <v>53.780975341796903</v>
      </c>
      <c r="E495" s="2">
        <v>46295.935231481482</v>
      </c>
      <c r="F495" s="1">
        <v>18500</v>
      </c>
      <c r="G495" s="1" t="s">
        <v>0</v>
      </c>
      <c r="H495" s="1">
        <v>20.489501953125</v>
      </c>
    </row>
    <row r="496" spans="1:8" ht="14.25" customHeight="1" x14ac:dyDescent="0.2">
      <c r="A496" s="2">
        <v>46295.935266203705</v>
      </c>
      <c r="B496" s="1">
        <v>18000</v>
      </c>
      <c r="C496" s="1" t="s">
        <v>0</v>
      </c>
      <c r="D496" s="1">
        <v>53.6172485351563</v>
      </c>
      <c r="E496" s="2">
        <v>46295.935266203705</v>
      </c>
      <c r="F496" s="1">
        <v>18000</v>
      </c>
      <c r="G496" s="1" t="s">
        <v>0</v>
      </c>
      <c r="H496" s="1">
        <v>20.47607421875</v>
      </c>
    </row>
    <row r="497" spans="1:8" ht="14.25" customHeight="1" x14ac:dyDescent="0.2">
      <c r="A497" s="2">
        <v>46295.935300925928</v>
      </c>
      <c r="B497" s="1">
        <v>17500</v>
      </c>
      <c r="C497" s="1" t="s">
        <v>0</v>
      </c>
      <c r="D497" s="1">
        <v>52.080078125</v>
      </c>
      <c r="E497" s="2">
        <v>46295.935300925928</v>
      </c>
      <c r="F497" s="1">
        <v>17500</v>
      </c>
      <c r="G497" s="1" t="s">
        <v>0</v>
      </c>
      <c r="H497" s="1">
        <v>20.5079650878906</v>
      </c>
    </row>
    <row r="498" spans="1:8" ht="14.25" customHeight="1" x14ac:dyDescent="0.2">
      <c r="A498" s="2">
        <v>46295.935335648152</v>
      </c>
      <c r="B498" s="1">
        <v>17000</v>
      </c>
      <c r="C498" s="1" t="s">
        <v>0</v>
      </c>
      <c r="D498" s="1">
        <v>51.577911376953097</v>
      </c>
      <c r="E498" s="2">
        <v>46295.935335648152</v>
      </c>
      <c r="F498" s="1">
        <v>17000</v>
      </c>
      <c r="G498" s="1" t="s">
        <v>0</v>
      </c>
      <c r="H498" s="1">
        <v>20.5081176757813</v>
      </c>
    </row>
    <row r="499" spans="1:8" ht="14.25" customHeight="1" x14ac:dyDescent="0.2">
      <c r="A499" s="2">
        <v>46295.935370370367</v>
      </c>
      <c r="B499" s="1">
        <v>16500</v>
      </c>
      <c r="C499" s="1" t="s">
        <v>0</v>
      </c>
      <c r="D499" s="1">
        <v>51.4239501953125</v>
      </c>
      <c r="E499" s="2">
        <v>46295.935370370367</v>
      </c>
      <c r="F499" s="1">
        <v>16500</v>
      </c>
      <c r="G499" s="1" t="s">
        <v>0</v>
      </c>
      <c r="H499" s="1">
        <v>20.4966735839844</v>
      </c>
    </row>
    <row r="500" spans="1:8" ht="14.25" customHeight="1" x14ac:dyDescent="0.2">
      <c r="A500" s="2">
        <v>46295.93540509259</v>
      </c>
      <c r="B500" s="1">
        <v>16000</v>
      </c>
      <c r="C500" s="1" t="s">
        <v>0</v>
      </c>
      <c r="D500" s="1">
        <v>51.334228515625</v>
      </c>
      <c r="E500" s="2">
        <v>46295.93540509259</v>
      </c>
      <c r="F500" s="1">
        <v>16000</v>
      </c>
      <c r="G500" s="1" t="s">
        <v>0</v>
      </c>
      <c r="H500" s="1">
        <v>20.4383850097656</v>
      </c>
    </row>
    <row r="501" spans="1:8" ht="14.25" customHeight="1" x14ac:dyDescent="0.2">
      <c r="A501" s="2">
        <v>46295.935439814813</v>
      </c>
      <c r="B501" s="1">
        <v>15500</v>
      </c>
      <c r="C501" s="1" t="s">
        <v>0</v>
      </c>
      <c r="D501" s="1">
        <v>51.3079833984375</v>
      </c>
      <c r="E501" s="2">
        <v>46295.935439814813</v>
      </c>
      <c r="F501" s="1">
        <v>15500</v>
      </c>
      <c r="G501" s="1" t="s">
        <v>0</v>
      </c>
      <c r="H501" s="1">
        <v>20.3800964355469</v>
      </c>
    </row>
    <row r="502" spans="1:8" ht="14.25" customHeight="1" x14ac:dyDescent="0.2">
      <c r="A502" s="2">
        <v>46295.935474537036</v>
      </c>
      <c r="B502" s="1">
        <v>15000</v>
      </c>
      <c r="C502" s="1" t="s">
        <v>0</v>
      </c>
      <c r="D502" s="1">
        <v>51.2432861328125</v>
      </c>
      <c r="E502" s="2">
        <v>46295.935474537036</v>
      </c>
      <c r="F502" s="1">
        <v>15000</v>
      </c>
      <c r="G502" s="1" t="s">
        <v>0</v>
      </c>
      <c r="H502" s="1">
        <v>20.3106689453125</v>
      </c>
    </row>
    <row r="503" spans="1:8" ht="14.25" customHeight="1" x14ac:dyDescent="0.2">
      <c r="A503" s="2">
        <v>46295.93550925926</v>
      </c>
      <c r="B503" s="1">
        <v>14500</v>
      </c>
      <c r="C503" s="1" t="s">
        <v>0</v>
      </c>
      <c r="D503" s="1">
        <v>51.2191772460938</v>
      </c>
      <c r="E503" s="2">
        <v>46295.93550925926</v>
      </c>
      <c r="F503" s="1">
        <v>14500</v>
      </c>
      <c r="G503" s="1" t="s">
        <v>0</v>
      </c>
      <c r="H503" s="1">
        <v>20.2059936523438</v>
      </c>
    </row>
    <row r="504" spans="1:8" ht="14.25" customHeight="1" x14ac:dyDescent="0.2">
      <c r="A504" s="2">
        <v>46295.935543981483</v>
      </c>
      <c r="B504" s="1">
        <v>14000</v>
      </c>
      <c r="C504" s="1" t="s">
        <v>0</v>
      </c>
      <c r="D504" s="1">
        <v>51.173095703125</v>
      </c>
      <c r="E504" s="2">
        <v>46295.935543981483</v>
      </c>
      <c r="F504" s="1">
        <v>14000</v>
      </c>
      <c r="G504" s="1" t="s">
        <v>0</v>
      </c>
      <c r="H504" s="1">
        <v>20.1643371582031</v>
      </c>
    </row>
    <row r="505" spans="1:8" ht="14.25" customHeight="1" x14ac:dyDescent="0.2">
      <c r="A505" s="2">
        <v>46295.935578703706</v>
      </c>
      <c r="B505" s="1">
        <v>13500</v>
      </c>
      <c r="C505" s="1" t="s">
        <v>0</v>
      </c>
      <c r="D505" s="1">
        <v>51.094970703125</v>
      </c>
      <c r="E505" s="2">
        <v>46295.935578703706</v>
      </c>
      <c r="F505" s="1">
        <v>13500</v>
      </c>
      <c r="G505" s="1" t="s">
        <v>0</v>
      </c>
      <c r="H505" s="1">
        <v>20.1109313964844</v>
      </c>
    </row>
    <row r="506" spans="1:8" ht="14.25" customHeight="1" x14ac:dyDescent="0.2">
      <c r="A506" s="2">
        <v>46295.935613425929</v>
      </c>
      <c r="B506" s="1">
        <v>13000</v>
      </c>
      <c r="C506" s="1" t="s">
        <v>0</v>
      </c>
      <c r="D506" s="1">
        <v>51.0870361328125</v>
      </c>
      <c r="E506" s="2">
        <v>46295.935613425929</v>
      </c>
      <c r="F506" s="1">
        <v>13000</v>
      </c>
      <c r="G506" s="1" t="s">
        <v>0</v>
      </c>
      <c r="H506" s="1">
        <v>19.9784851074219</v>
      </c>
    </row>
    <row r="507" spans="1:8" ht="14.25" customHeight="1" x14ac:dyDescent="0.2">
      <c r="A507" s="2">
        <v>46295.935648148145</v>
      </c>
      <c r="B507" s="1">
        <v>12500</v>
      </c>
      <c r="C507" s="1" t="s">
        <v>0</v>
      </c>
      <c r="D507" s="1">
        <v>51.039886474609403</v>
      </c>
      <c r="E507" s="2">
        <v>46295.935648148145</v>
      </c>
      <c r="F507" s="1">
        <v>12500</v>
      </c>
      <c r="G507" s="1" t="s">
        <v>0</v>
      </c>
      <c r="H507" s="1">
        <v>19.835205078125</v>
      </c>
    </row>
    <row r="508" spans="1:8" ht="14.25" customHeight="1" x14ac:dyDescent="0.2">
      <c r="A508" s="2">
        <v>46295.935682870368</v>
      </c>
      <c r="B508" s="1">
        <v>12000</v>
      </c>
      <c r="C508" s="1" t="s">
        <v>0</v>
      </c>
      <c r="D508" s="1">
        <v>51.00830078125</v>
      </c>
      <c r="E508" s="2">
        <v>46295.935682870368</v>
      </c>
      <c r="F508" s="1">
        <v>12000</v>
      </c>
      <c r="G508" s="1" t="s">
        <v>0</v>
      </c>
      <c r="H508" s="1">
        <v>19.6426391601563</v>
      </c>
    </row>
    <row r="509" spans="1:8" ht="14.25" customHeight="1" x14ac:dyDescent="0.2">
      <c r="A509" s="2">
        <v>46295.935717592591</v>
      </c>
      <c r="B509" s="1">
        <v>11500</v>
      </c>
      <c r="C509" s="1" t="s">
        <v>0</v>
      </c>
      <c r="D509" s="1">
        <v>50.983734130859403</v>
      </c>
      <c r="E509" s="2">
        <v>46295.935717592591</v>
      </c>
      <c r="F509" s="1">
        <v>11500</v>
      </c>
      <c r="G509" s="1" t="s">
        <v>0</v>
      </c>
      <c r="H509" s="1">
        <v>19.4558715820313</v>
      </c>
    </row>
    <row r="510" spans="1:8" ht="14.25" customHeight="1" x14ac:dyDescent="0.2">
      <c r="A510" s="2">
        <v>46295.935752314814</v>
      </c>
      <c r="B510" s="1">
        <v>11000</v>
      </c>
      <c r="C510" s="1" t="s">
        <v>0</v>
      </c>
      <c r="D510" s="1">
        <v>51.005401611328097</v>
      </c>
      <c r="E510" s="2">
        <v>46295.935752314814</v>
      </c>
      <c r="F510" s="1">
        <v>11000</v>
      </c>
      <c r="G510" s="1" t="s">
        <v>0</v>
      </c>
      <c r="H510" s="1">
        <v>19.3534851074219</v>
      </c>
    </row>
    <row r="511" spans="1:8" ht="14.25" customHeight="1" x14ac:dyDescent="0.2">
      <c r="A511" s="2">
        <v>46295.935787037037</v>
      </c>
      <c r="B511" s="1">
        <v>10500</v>
      </c>
      <c r="C511" s="1" t="s">
        <v>0</v>
      </c>
      <c r="D511" s="1">
        <v>50.934906005859403</v>
      </c>
      <c r="E511" s="2">
        <v>46295.935787037037</v>
      </c>
      <c r="F511" s="1">
        <v>10500</v>
      </c>
      <c r="G511" s="1" t="s">
        <v>0</v>
      </c>
      <c r="H511" s="1">
        <v>19.1650390625</v>
      </c>
    </row>
    <row r="512" spans="1:8" ht="14.25" customHeight="1" x14ac:dyDescent="0.2">
      <c r="A512" s="2">
        <v>46295.93582175926</v>
      </c>
      <c r="B512" s="1">
        <v>10000</v>
      </c>
      <c r="C512" s="1" t="s">
        <v>0</v>
      </c>
      <c r="D512" s="1">
        <v>50.9033203125</v>
      </c>
      <c r="E512" s="2">
        <v>46295.93582175926</v>
      </c>
      <c r="F512" s="1">
        <v>10000</v>
      </c>
      <c r="G512" s="1" t="s">
        <v>0</v>
      </c>
      <c r="H512" s="1">
        <v>18.9566040039063</v>
      </c>
    </row>
    <row r="513" spans="1:8" ht="14.25" customHeight="1" x14ac:dyDescent="0.2">
      <c r="A513" s="2">
        <v>46295.935856481483</v>
      </c>
      <c r="B513" s="1">
        <v>9500</v>
      </c>
      <c r="C513" s="1" t="s">
        <v>0</v>
      </c>
      <c r="D513" s="1">
        <v>50.8596801757813</v>
      </c>
      <c r="E513" s="2">
        <v>46295.935856481483</v>
      </c>
      <c r="F513" s="1">
        <v>9500</v>
      </c>
      <c r="G513" s="1" t="s">
        <v>0</v>
      </c>
      <c r="H513" s="1">
        <v>18.76220703125</v>
      </c>
    </row>
    <row r="514" spans="1:8" ht="14.25" customHeight="1" x14ac:dyDescent="0.2">
      <c r="A514" s="2">
        <v>46295.935891203706</v>
      </c>
      <c r="B514" s="1">
        <v>9000</v>
      </c>
      <c r="C514" s="1" t="s">
        <v>0</v>
      </c>
      <c r="D514" s="1">
        <v>50.88623046875</v>
      </c>
      <c r="E514" s="2">
        <v>46295.935891203706</v>
      </c>
      <c r="F514" s="1">
        <v>9000</v>
      </c>
      <c r="G514" s="1" t="s">
        <v>0</v>
      </c>
      <c r="H514" s="1">
        <v>18.4152221679688</v>
      </c>
    </row>
    <row r="515" spans="1:8" ht="14.25" customHeight="1" x14ac:dyDescent="0.2">
      <c r="A515" s="2">
        <v>46295.935925925929</v>
      </c>
      <c r="B515" s="1">
        <v>8500</v>
      </c>
      <c r="C515" s="1" t="s">
        <v>0</v>
      </c>
      <c r="D515" s="1">
        <v>50.852508544921903</v>
      </c>
      <c r="E515" s="2">
        <v>46295.935925925929</v>
      </c>
      <c r="F515" s="1">
        <v>8500</v>
      </c>
      <c r="G515" s="1" t="s">
        <v>0</v>
      </c>
      <c r="H515" s="1">
        <v>17.9716491699219</v>
      </c>
    </row>
    <row r="516" spans="1:8" ht="14.25" customHeight="1" x14ac:dyDescent="0.2">
      <c r="A516" s="2">
        <v>46295.935960648145</v>
      </c>
      <c r="B516" s="1">
        <v>8000</v>
      </c>
      <c r="C516" s="1" t="s">
        <v>0</v>
      </c>
      <c r="D516" s="1">
        <v>50.8285522460938</v>
      </c>
      <c r="E516" s="2">
        <v>46295.935960648145</v>
      </c>
      <c r="F516" s="1">
        <v>8000</v>
      </c>
      <c r="G516" s="1" t="s">
        <v>0</v>
      </c>
      <c r="H516" s="1">
        <v>17.41943359375</v>
      </c>
    </row>
    <row r="517" spans="1:8" ht="14.25" customHeight="1" x14ac:dyDescent="0.2">
      <c r="A517" s="2">
        <v>46295.935995370368</v>
      </c>
      <c r="B517" s="1">
        <v>7500</v>
      </c>
      <c r="C517" s="1" t="s">
        <v>0</v>
      </c>
      <c r="D517" s="1">
        <v>50.8059692382813</v>
      </c>
      <c r="E517" s="2">
        <v>46295.935995370368</v>
      </c>
      <c r="F517" s="1">
        <v>7500</v>
      </c>
      <c r="G517" s="1" t="s">
        <v>0</v>
      </c>
      <c r="H517" s="1">
        <v>17.0097351074219</v>
      </c>
    </row>
    <row r="518" spans="1:8" ht="14.25" customHeight="1" x14ac:dyDescent="0.2">
      <c r="A518" s="2">
        <v>46295.936030092591</v>
      </c>
      <c r="B518" s="1">
        <v>7000</v>
      </c>
      <c r="C518" s="1" t="s">
        <v>0</v>
      </c>
      <c r="D518" s="1">
        <v>50.805816650390597</v>
      </c>
      <c r="E518" s="2">
        <v>46295.936030092591</v>
      </c>
      <c r="F518" s="1">
        <v>7000</v>
      </c>
      <c r="G518" s="1" t="s">
        <v>0</v>
      </c>
      <c r="H518" s="1">
        <v>16.3430786132813</v>
      </c>
    </row>
    <row r="519" spans="1:8" ht="14.25" customHeight="1" x14ac:dyDescent="0.2">
      <c r="A519" s="2">
        <v>46295.936064814814</v>
      </c>
      <c r="B519" s="1">
        <v>6500</v>
      </c>
      <c r="C519" s="1" t="s">
        <v>0</v>
      </c>
      <c r="D519" s="1">
        <v>50.771942138671903</v>
      </c>
      <c r="E519" s="2">
        <v>46295.936064814814</v>
      </c>
      <c r="F519" s="1">
        <v>6500</v>
      </c>
      <c r="G519" s="1" t="s">
        <v>0</v>
      </c>
      <c r="H519" s="1">
        <v>15.8131408691406</v>
      </c>
    </row>
    <row r="520" spans="1:8" ht="14.25" customHeight="1" x14ac:dyDescent="0.2">
      <c r="A520" s="2">
        <v>46295.936099537037</v>
      </c>
      <c r="B520" s="1">
        <v>6000</v>
      </c>
      <c r="C520" s="1" t="s">
        <v>0</v>
      </c>
      <c r="D520" s="1">
        <v>50.7357788085938</v>
      </c>
      <c r="E520" s="2">
        <v>46295.936099537037</v>
      </c>
      <c r="F520" s="1">
        <v>6000</v>
      </c>
      <c r="G520" s="1" t="s">
        <v>0</v>
      </c>
      <c r="H520" s="1">
        <v>15.0160217285156</v>
      </c>
    </row>
    <row r="521" spans="1:8" ht="14.25" customHeight="1" x14ac:dyDescent="0.2">
      <c r="A521" s="2">
        <v>46295.93613425926</v>
      </c>
      <c r="B521" s="1">
        <v>5500</v>
      </c>
      <c r="C521" s="1" t="s">
        <v>0</v>
      </c>
      <c r="D521" s="1">
        <v>50.731048583984403</v>
      </c>
      <c r="E521" s="2">
        <v>46295.93613425926</v>
      </c>
      <c r="F521" s="1">
        <v>5500</v>
      </c>
      <c r="G521" s="1" t="s">
        <v>0</v>
      </c>
      <c r="H521" s="1">
        <v>14.3367004394531</v>
      </c>
    </row>
    <row r="522" spans="1:8" ht="14.25" customHeight="1" x14ac:dyDescent="0.2">
      <c r="A522" s="2">
        <v>46295.936168981483</v>
      </c>
      <c r="B522" s="1">
        <v>5000</v>
      </c>
      <c r="C522" s="1" t="s">
        <v>0</v>
      </c>
      <c r="D522" s="1">
        <v>50.692901611328097</v>
      </c>
      <c r="E522" s="2">
        <v>46295.936168981483</v>
      </c>
      <c r="F522" s="1">
        <v>5000</v>
      </c>
      <c r="G522" s="1" t="s">
        <v>0</v>
      </c>
      <c r="H522" s="1">
        <v>13.82080078125</v>
      </c>
    </row>
    <row r="523" spans="1:8" ht="14.25" customHeight="1" x14ac:dyDescent="0.2">
      <c r="A523" s="2">
        <v>46295.936203703706</v>
      </c>
      <c r="B523" s="1">
        <v>4500</v>
      </c>
      <c r="C523" s="1" t="s">
        <v>0</v>
      </c>
      <c r="D523" s="1">
        <v>50.696868896484403</v>
      </c>
      <c r="E523" s="2">
        <v>46295.936203703706</v>
      </c>
      <c r="F523" s="1">
        <v>4500</v>
      </c>
      <c r="G523" s="1" t="s">
        <v>0</v>
      </c>
      <c r="H523" s="1">
        <v>12.9986572265625</v>
      </c>
    </row>
    <row r="524" spans="1:8" ht="14.25" customHeight="1" x14ac:dyDescent="0.2">
      <c r="A524" s="2">
        <v>46295.936238425929</v>
      </c>
      <c r="B524" s="1">
        <v>4000</v>
      </c>
      <c r="C524" s="1" t="s">
        <v>0</v>
      </c>
      <c r="D524" s="1">
        <v>50.661468505859403</v>
      </c>
      <c r="E524" s="2">
        <v>46295.936238425929</v>
      </c>
      <c r="F524" s="1">
        <v>4000</v>
      </c>
      <c r="G524" s="1" t="s">
        <v>0</v>
      </c>
      <c r="H524" s="1">
        <v>12.1865844726563</v>
      </c>
    </row>
    <row r="525" spans="1:8" ht="14.25" customHeight="1" x14ac:dyDescent="0.2">
      <c r="A525" s="2">
        <v>46295.936273148145</v>
      </c>
      <c r="B525" s="1">
        <v>3500</v>
      </c>
      <c r="C525" s="1" t="s">
        <v>0</v>
      </c>
      <c r="D525" s="1">
        <v>50.6472778320313</v>
      </c>
      <c r="E525" s="2">
        <v>46295.936273148145</v>
      </c>
      <c r="F525" s="1">
        <v>3500</v>
      </c>
      <c r="G525" s="1" t="s">
        <v>0</v>
      </c>
      <c r="H525" s="1">
        <v>11.6154479980469</v>
      </c>
    </row>
    <row r="526" spans="1:8" ht="14.25" customHeight="1" x14ac:dyDescent="0.2">
      <c r="A526" s="2">
        <v>46295.936307870368</v>
      </c>
      <c r="B526" s="1">
        <v>3000</v>
      </c>
      <c r="C526" s="1" t="s">
        <v>0</v>
      </c>
      <c r="D526" s="1">
        <v>50.625</v>
      </c>
      <c r="E526" s="2">
        <v>46295.936307870368</v>
      </c>
      <c r="F526" s="1">
        <v>3000</v>
      </c>
      <c r="G526" s="1" t="s">
        <v>0</v>
      </c>
      <c r="H526" s="1">
        <v>11.2586975097656</v>
      </c>
    </row>
    <row r="527" spans="1:8" ht="14.25" customHeight="1" x14ac:dyDescent="0.2">
      <c r="A527" s="2">
        <v>46295.936342592591</v>
      </c>
      <c r="B527" s="1">
        <v>2500</v>
      </c>
      <c r="C527" s="1" t="s">
        <v>0</v>
      </c>
      <c r="D527" s="1">
        <v>50.611572265625</v>
      </c>
      <c r="E527" s="2">
        <v>46295.936342592591</v>
      </c>
      <c r="F527" s="1">
        <v>2500</v>
      </c>
      <c r="G527" s="1" t="s">
        <v>0</v>
      </c>
      <c r="H527" s="1">
        <v>10.9565734863281</v>
      </c>
    </row>
    <row r="528" spans="1:8" ht="14.25" customHeight="1" x14ac:dyDescent="0.2">
      <c r="A528" s="2">
        <v>46295.936377314814</v>
      </c>
      <c r="B528" s="1">
        <v>2000</v>
      </c>
      <c r="C528" s="1" t="s">
        <v>0</v>
      </c>
      <c r="D528" s="1">
        <v>50.577392578125</v>
      </c>
      <c r="E528" s="2">
        <v>46295.936377314814</v>
      </c>
      <c r="F528" s="1">
        <v>2000</v>
      </c>
      <c r="G528" s="1" t="s">
        <v>0</v>
      </c>
      <c r="H528" s="1">
        <v>10.5339050292969</v>
      </c>
    </row>
    <row r="529" spans="1:8" ht="14.25" customHeight="1" x14ac:dyDescent="0.2">
      <c r="A529" s="2">
        <v>46295.936412037037</v>
      </c>
      <c r="B529" s="1">
        <v>1500</v>
      </c>
      <c r="C529" s="1" t="s">
        <v>0</v>
      </c>
      <c r="D529" s="1">
        <v>50.589141845703097</v>
      </c>
      <c r="E529" s="2">
        <v>46295.936412037037</v>
      </c>
      <c r="F529" s="1">
        <v>1500</v>
      </c>
      <c r="G529" s="1" t="s">
        <v>0</v>
      </c>
      <c r="H529" s="1">
        <v>10.1359558105469</v>
      </c>
    </row>
    <row r="530" spans="1:8" ht="14.25" customHeight="1" x14ac:dyDescent="0.2">
      <c r="A530" s="2">
        <v>46295.93644675926</v>
      </c>
      <c r="B530" s="1">
        <v>1000</v>
      </c>
      <c r="C530" s="1" t="s">
        <v>0</v>
      </c>
      <c r="D530" s="1">
        <v>50.559844970703097</v>
      </c>
      <c r="E530" s="2">
        <v>46295.93644675926</v>
      </c>
      <c r="F530" s="1">
        <v>1000</v>
      </c>
      <c r="G530" s="1" t="s">
        <v>0</v>
      </c>
      <c r="H530" s="1">
        <v>9.34783935546875</v>
      </c>
    </row>
    <row r="531" spans="1:8" ht="14.25" customHeight="1" x14ac:dyDescent="0.2">
      <c r="A531" s="2">
        <v>46295.936481481483</v>
      </c>
      <c r="B531" s="1">
        <v>500</v>
      </c>
      <c r="C531" s="1" t="s">
        <v>0</v>
      </c>
      <c r="D531" s="1">
        <v>50.5313110351563</v>
      </c>
      <c r="E531" s="2">
        <v>46295.936481481483</v>
      </c>
      <c r="F531" s="1">
        <v>500</v>
      </c>
      <c r="G531" s="1" t="s">
        <v>0</v>
      </c>
      <c r="H531" s="1">
        <v>9.14581298828125</v>
      </c>
    </row>
    <row r="532" spans="1:8" ht="14.25" customHeight="1" x14ac:dyDescent="0.2">
      <c r="A532" s="2">
        <v>46295.936516203707</v>
      </c>
      <c r="B532" s="1">
        <v>0</v>
      </c>
      <c r="C532" s="1" t="s">
        <v>0</v>
      </c>
      <c r="D532" s="1">
        <v>50.511627197265597</v>
      </c>
      <c r="E532" s="2">
        <v>46295.936516203707</v>
      </c>
      <c r="F532" s="1">
        <v>0</v>
      </c>
      <c r="G532" s="1" t="s">
        <v>0</v>
      </c>
      <c r="H532" s="1">
        <v>8.9759826660156303</v>
      </c>
    </row>
    <row r="533" spans="1:8" ht="14.25" customHeight="1" x14ac:dyDescent="0.2">
      <c r="A533" s="2">
        <v>46295.936550925922</v>
      </c>
      <c r="B533" s="1">
        <v>-500</v>
      </c>
      <c r="C533" s="1" t="s">
        <v>0</v>
      </c>
      <c r="D533" s="1">
        <v>50.499420166015597</v>
      </c>
      <c r="E533" s="2">
        <v>46295.936550925922</v>
      </c>
      <c r="F533" s="1">
        <v>-500</v>
      </c>
      <c r="G533" s="1" t="s">
        <v>0</v>
      </c>
      <c r="H533" s="1">
        <v>8.97674560546875</v>
      </c>
    </row>
    <row r="534" spans="1:8" ht="14.25" customHeight="1" x14ac:dyDescent="0.2">
      <c r="A534" s="2">
        <v>46295.936585648145</v>
      </c>
      <c r="B534" s="1">
        <v>-1000</v>
      </c>
      <c r="C534" s="1" t="s">
        <v>0</v>
      </c>
      <c r="D534" s="1">
        <v>50.489501953125</v>
      </c>
      <c r="E534" s="2">
        <v>46295.936585648145</v>
      </c>
      <c r="F534" s="1">
        <v>-1000</v>
      </c>
      <c r="G534" s="1" t="s">
        <v>0</v>
      </c>
      <c r="H534" s="1">
        <v>9.1375732421875</v>
      </c>
    </row>
    <row r="535" spans="1:8" ht="14.25" customHeight="1" x14ac:dyDescent="0.2">
      <c r="A535" s="2">
        <v>46295.936620370368</v>
      </c>
      <c r="B535" s="1">
        <v>-1500</v>
      </c>
      <c r="C535" s="1" t="s">
        <v>0</v>
      </c>
      <c r="D535" s="1">
        <v>50.4690551757813</v>
      </c>
      <c r="E535" s="2">
        <v>46295.936620370368</v>
      </c>
      <c r="F535" s="1">
        <v>-1500</v>
      </c>
      <c r="G535" s="1" t="s">
        <v>0</v>
      </c>
      <c r="H535" s="1">
        <v>8.5942077636718803</v>
      </c>
    </row>
    <row r="536" spans="1:8" ht="14.25" customHeight="1" x14ac:dyDescent="0.2">
      <c r="A536" s="2">
        <v>46295.936655092592</v>
      </c>
      <c r="B536" s="1">
        <v>-2000</v>
      </c>
      <c r="C536" s="1" t="s">
        <v>0</v>
      </c>
      <c r="D536" s="1">
        <v>50.430908203125</v>
      </c>
      <c r="E536" s="2">
        <v>46295.936655092592</v>
      </c>
      <c r="F536" s="1">
        <v>-2000</v>
      </c>
      <c r="G536" s="1" t="s">
        <v>0</v>
      </c>
      <c r="H536" s="1">
        <v>8.5289001464843803</v>
      </c>
    </row>
    <row r="537" spans="1:8" ht="14.2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4.25" customHeight="1" x14ac:dyDescent="0.2">
      <c r="A538" s="2">
        <v>46295.939027777778</v>
      </c>
      <c r="B538" s="1">
        <v>5000</v>
      </c>
      <c r="C538" s="1" t="s">
        <v>0</v>
      </c>
      <c r="D538" s="1">
        <v>49.390106201171903</v>
      </c>
      <c r="E538" s="2">
        <v>46295.939027777778</v>
      </c>
      <c r="F538" s="1">
        <v>5000</v>
      </c>
      <c r="G538" s="1" t="s">
        <v>0</v>
      </c>
      <c r="H538" s="1">
        <v>16.1764526367188</v>
      </c>
    </row>
    <row r="539" spans="1:8" ht="14.25" customHeight="1" x14ac:dyDescent="0.2">
      <c r="A539" s="2">
        <v>46295.939062500001</v>
      </c>
      <c r="B539" s="1">
        <v>4900</v>
      </c>
      <c r="C539" s="1" t="s">
        <v>0</v>
      </c>
      <c r="D539" s="1">
        <v>49.4094848632813</v>
      </c>
      <c r="E539" s="2">
        <v>46295.939062500001</v>
      </c>
      <c r="F539" s="1">
        <v>4900</v>
      </c>
      <c r="G539" s="1" t="s">
        <v>0</v>
      </c>
      <c r="H539" s="1">
        <v>15.5996704101563</v>
      </c>
    </row>
    <row r="540" spans="1:8" ht="14.25" customHeight="1" x14ac:dyDescent="0.2">
      <c r="A540" s="2">
        <v>46295.939097222225</v>
      </c>
      <c r="B540" s="1">
        <v>4800</v>
      </c>
      <c r="C540" s="1" t="s">
        <v>0</v>
      </c>
      <c r="D540" s="1">
        <v>49.3939208984375</v>
      </c>
      <c r="E540" s="2">
        <v>46295.939097222225</v>
      </c>
      <c r="F540" s="1">
        <v>4800</v>
      </c>
      <c r="G540" s="1" t="s">
        <v>0</v>
      </c>
      <c r="H540" s="1">
        <v>15.3350830078125</v>
      </c>
    </row>
    <row r="541" spans="1:8" ht="14.25" customHeight="1" x14ac:dyDescent="0.2">
      <c r="A541" s="2">
        <v>46295.939131944448</v>
      </c>
      <c r="B541" s="1">
        <v>4700</v>
      </c>
      <c r="C541" s="1" t="s">
        <v>0</v>
      </c>
      <c r="D541" s="1">
        <v>49.3606567382813</v>
      </c>
      <c r="E541" s="2">
        <v>46295.939131944448</v>
      </c>
      <c r="F541" s="1">
        <v>4700</v>
      </c>
      <c r="G541" s="1" t="s">
        <v>0</v>
      </c>
      <c r="H541" s="1">
        <v>15.4588317871094</v>
      </c>
    </row>
    <row r="542" spans="1:8" ht="14.25" customHeight="1" x14ac:dyDescent="0.2">
      <c r="A542" s="2">
        <v>46295.939166666663</v>
      </c>
      <c r="B542" s="1">
        <v>4600</v>
      </c>
      <c r="C542" s="1" t="s">
        <v>0</v>
      </c>
      <c r="D542" s="1">
        <v>49.354095458984403</v>
      </c>
      <c r="E542" s="2">
        <v>46295.939166666663</v>
      </c>
      <c r="F542" s="1">
        <v>4600</v>
      </c>
      <c r="G542" s="1" t="s">
        <v>0</v>
      </c>
      <c r="H542" s="1">
        <v>15.1922607421875</v>
      </c>
    </row>
    <row r="543" spans="1:8" ht="14.25" customHeight="1" x14ac:dyDescent="0.2">
      <c r="A543" s="2">
        <v>46295.939201388886</v>
      </c>
      <c r="B543" s="1">
        <v>4500</v>
      </c>
      <c r="C543" s="1" t="s">
        <v>0</v>
      </c>
      <c r="D543" s="1">
        <v>49.3658447265625</v>
      </c>
      <c r="E543" s="2">
        <v>46295.939201388886</v>
      </c>
      <c r="F543" s="1">
        <v>4500</v>
      </c>
      <c r="G543" s="1" t="s">
        <v>0</v>
      </c>
      <c r="H543" s="1">
        <v>15.1518249511719</v>
      </c>
    </row>
    <row r="544" spans="1:8" ht="14.25" customHeight="1" x14ac:dyDescent="0.2">
      <c r="A544" s="2">
        <v>46295.939236111109</v>
      </c>
      <c r="B544" s="1">
        <v>4400</v>
      </c>
      <c r="C544" s="1" t="s">
        <v>0</v>
      </c>
      <c r="D544" s="1">
        <v>49.351348876953097</v>
      </c>
      <c r="E544" s="2">
        <v>46295.939236111109</v>
      </c>
      <c r="F544" s="1">
        <v>4400</v>
      </c>
      <c r="G544" s="1" t="s">
        <v>0</v>
      </c>
      <c r="H544" s="1">
        <v>14.775390625</v>
      </c>
    </row>
    <row r="545" spans="1:8" ht="14.25" customHeight="1" x14ac:dyDescent="0.2">
      <c r="A545" s="2">
        <v>46295.939270833333</v>
      </c>
      <c r="B545" s="1">
        <v>4300</v>
      </c>
      <c r="C545" s="1" t="s">
        <v>0</v>
      </c>
      <c r="D545" s="1">
        <v>49.328765869140597</v>
      </c>
      <c r="E545" s="2">
        <v>46295.939270833333</v>
      </c>
      <c r="F545" s="1">
        <v>4300</v>
      </c>
      <c r="G545" s="1" t="s">
        <v>0</v>
      </c>
      <c r="H545" s="1">
        <v>14.4680786132813</v>
      </c>
    </row>
    <row r="546" spans="1:8" ht="14.25" customHeight="1" x14ac:dyDescent="0.2">
      <c r="A546" s="2">
        <v>46295.939305555556</v>
      </c>
      <c r="B546" s="1">
        <v>4200</v>
      </c>
      <c r="C546" s="1" t="s">
        <v>0</v>
      </c>
      <c r="D546" s="1">
        <v>49.322967529296903</v>
      </c>
      <c r="E546" s="2">
        <v>46295.939305555556</v>
      </c>
      <c r="F546" s="1">
        <v>4200</v>
      </c>
      <c r="G546" s="1" t="s">
        <v>0</v>
      </c>
      <c r="H546" s="1">
        <v>14.3101501464844</v>
      </c>
    </row>
    <row r="547" spans="1:8" ht="14.25" customHeight="1" x14ac:dyDescent="0.2">
      <c r="A547" s="2">
        <v>46295.939340277779</v>
      </c>
      <c r="B547" s="1">
        <v>4100</v>
      </c>
      <c r="C547" s="1" t="s">
        <v>0</v>
      </c>
      <c r="D547" s="1">
        <v>49.321441650390597</v>
      </c>
      <c r="E547" s="2">
        <v>46295.939340277779</v>
      </c>
      <c r="F547" s="1">
        <v>4100</v>
      </c>
      <c r="G547" s="1" t="s">
        <v>0</v>
      </c>
      <c r="H547" s="1">
        <v>13.9329528808594</v>
      </c>
    </row>
    <row r="548" spans="1:8" ht="14.25" customHeight="1" x14ac:dyDescent="0.2">
      <c r="A548" s="2">
        <v>46295.939375000002</v>
      </c>
      <c r="B548" s="1">
        <v>4000</v>
      </c>
      <c r="C548" s="1" t="s">
        <v>0</v>
      </c>
      <c r="D548" s="1">
        <v>49.304962158203097</v>
      </c>
      <c r="E548" s="2">
        <v>46295.939375000002</v>
      </c>
      <c r="F548" s="1">
        <v>4000</v>
      </c>
      <c r="G548" s="1" t="s">
        <v>0</v>
      </c>
      <c r="H548" s="1">
        <v>14.144287109375</v>
      </c>
    </row>
    <row r="549" spans="1:8" ht="14.25" customHeight="1" x14ac:dyDescent="0.2">
      <c r="A549" s="2">
        <v>46295.939409722225</v>
      </c>
      <c r="B549" s="1">
        <v>3900</v>
      </c>
      <c r="C549" s="1" t="s">
        <v>0</v>
      </c>
      <c r="D549" s="1">
        <v>49.3072509765625</v>
      </c>
      <c r="E549" s="2">
        <v>46295.939409722225</v>
      </c>
      <c r="F549" s="1">
        <v>3900</v>
      </c>
      <c r="G549" s="1" t="s">
        <v>0</v>
      </c>
      <c r="H549" s="1">
        <v>14.0974426269531</v>
      </c>
    </row>
    <row r="550" spans="1:8" ht="14.25" customHeight="1" x14ac:dyDescent="0.2">
      <c r="A550" s="2">
        <v>46295.939444444448</v>
      </c>
      <c r="B550" s="1">
        <v>3800</v>
      </c>
      <c r="C550" s="1" t="s">
        <v>0</v>
      </c>
      <c r="D550" s="1">
        <v>49.307708740234403</v>
      </c>
      <c r="E550" s="2">
        <v>46295.939444444448</v>
      </c>
      <c r="F550" s="1">
        <v>3800</v>
      </c>
      <c r="G550" s="1" t="s">
        <v>0</v>
      </c>
      <c r="H550" s="1">
        <v>13.7925720214844</v>
      </c>
    </row>
    <row r="551" spans="1:8" ht="14.25" customHeight="1" x14ac:dyDescent="0.2">
      <c r="A551" s="2">
        <v>46295.939479166664</v>
      </c>
      <c r="B551" s="1">
        <v>3700</v>
      </c>
      <c r="C551" s="1" t="s">
        <v>0</v>
      </c>
      <c r="D551" s="1">
        <v>49.2745971679688</v>
      </c>
      <c r="E551" s="2">
        <v>46295.939479166664</v>
      </c>
      <c r="F551" s="1">
        <v>3700</v>
      </c>
      <c r="G551" s="1" t="s">
        <v>0</v>
      </c>
      <c r="H551" s="1">
        <v>13.8067626953125</v>
      </c>
    </row>
    <row r="552" spans="1:8" ht="14.25" customHeight="1" x14ac:dyDescent="0.2">
      <c r="A552" s="2">
        <v>46295.939513888887</v>
      </c>
      <c r="B552" s="1">
        <v>3600</v>
      </c>
      <c r="C552" s="1" t="s">
        <v>0</v>
      </c>
      <c r="D552" s="1">
        <v>49.255828857421903</v>
      </c>
      <c r="E552" s="2">
        <v>46295.939513888887</v>
      </c>
      <c r="F552" s="1">
        <v>3600</v>
      </c>
      <c r="G552" s="1" t="s">
        <v>0</v>
      </c>
      <c r="H552" s="1">
        <v>13.5115051269531</v>
      </c>
    </row>
    <row r="553" spans="1:8" ht="14.25" customHeight="1" x14ac:dyDescent="0.2">
      <c r="A553" s="2">
        <v>46295.93954861111</v>
      </c>
      <c r="B553" s="1">
        <v>3500</v>
      </c>
      <c r="C553" s="1" t="s">
        <v>0</v>
      </c>
      <c r="D553" s="1">
        <v>49.2544555664063</v>
      </c>
      <c r="E553" s="2">
        <v>46295.93954861111</v>
      </c>
      <c r="F553" s="1">
        <v>3500</v>
      </c>
      <c r="G553" s="1" t="s">
        <v>0</v>
      </c>
      <c r="H553" s="1">
        <v>13.2125854492188</v>
      </c>
    </row>
    <row r="554" spans="1:8" ht="14.25" customHeight="1" x14ac:dyDescent="0.2">
      <c r="A554" s="2">
        <v>46295.939583333333</v>
      </c>
      <c r="B554" s="1">
        <v>3400</v>
      </c>
      <c r="C554" s="1" t="s">
        <v>0</v>
      </c>
      <c r="D554" s="1">
        <v>49.245147705078097</v>
      </c>
      <c r="E554" s="2">
        <v>46295.939583333333</v>
      </c>
      <c r="F554" s="1">
        <v>3400</v>
      </c>
      <c r="G554" s="1" t="s">
        <v>0</v>
      </c>
      <c r="H554" s="1">
        <v>13.1111145019531</v>
      </c>
    </row>
    <row r="555" spans="1:8" ht="14.25" customHeight="1" x14ac:dyDescent="0.2">
      <c r="A555" s="2">
        <v>46295.939618055556</v>
      </c>
      <c r="B555" s="1">
        <v>3300</v>
      </c>
      <c r="C555" s="1" t="s">
        <v>0</v>
      </c>
      <c r="D555" s="1">
        <v>49.232025146484403</v>
      </c>
      <c r="E555" s="2">
        <v>46295.939618055556</v>
      </c>
      <c r="F555" s="1">
        <v>3300</v>
      </c>
      <c r="G555" s="1" t="s">
        <v>0</v>
      </c>
      <c r="H555" s="1">
        <v>12.95654296875</v>
      </c>
    </row>
    <row r="556" spans="1:8" ht="14.25" customHeight="1" x14ac:dyDescent="0.2">
      <c r="A556" s="2">
        <v>46295.939652777779</v>
      </c>
      <c r="B556" s="1">
        <v>3200</v>
      </c>
      <c r="C556" s="1" t="s">
        <v>0</v>
      </c>
      <c r="D556" s="1">
        <v>49.2138671875</v>
      </c>
      <c r="E556" s="2">
        <v>46295.939652777779</v>
      </c>
      <c r="F556" s="1">
        <v>3200</v>
      </c>
      <c r="G556" s="1" t="s">
        <v>0</v>
      </c>
      <c r="H556" s="1">
        <v>12.8005981445313</v>
      </c>
    </row>
    <row r="557" spans="1:8" ht="14.25" customHeight="1" x14ac:dyDescent="0.2">
      <c r="A557" s="2">
        <v>46295.939687500002</v>
      </c>
      <c r="B557" s="1">
        <v>3100</v>
      </c>
      <c r="C557" s="1" t="s">
        <v>0</v>
      </c>
      <c r="D557" s="1">
        <v>49.2178344726563</v>
      </c>
      <c r="E557" s="2">
        <v>46295.939687500002</v>
      </c>
      <c r="F557" s="1">
        <v>3100</v>
      </c>
      <c r="G557" s="1" t="s">
        <v>0</v>
      </c>
      <c r="H557" s="1">
        <v>12.9605102539063</v>
      </c>
    </row>
    <row r="558" spans="1:8" ht="14.25" customHeight="1" x14ac:dyDescent="0.2">
      <c r="A558" s="2">
        <v>46295.939722222225</v>
      </c>
      <c r="B558" s="1">
        <v>3000</v>
      </c>
      <c r="C558" s="1" t="s">
        <v>0</v>
      </c>
      <c r="D558" s="1">
        <v>49.194183349609403</v>
      </c>
      <c r="E558" s="2">
        <v>46295.939722222225</v>
      </c>
      <c r="F558" s="1">
        <v>3000</v>
      </c>
      <c r="G558" s="1" t="s">
        <v>0</v>
      </c>
      <c r="H558" s="1">
        <v>12.4440002441406</v>
      </c>
    </row>
    <row r="559" spans="1:8" ht="14.25" customHeight="1" x14ac:dyDescent="0.2">
      <c r="A559" s="2">
        <v>46295.939756944441</v>
      </c>
      <c r="B559" s="1">
        <v>2900</v>
      </c>
      <c r="C559" s="1" t="s">
        <v>0</v>
      </c>
      <c r="D559" s="1">
        <v>49.192962646484403</v>
      </c>
      <c r="E559" s="2">
        <v>46295.939756944441</v>
      </c>
      <c r="F559" s="1">
        <v>2900</v>
      </c>
      <c r="G559" s="1" t="s">
        <v>0</v>
      </c>
      <c r="H559" s="1">
        <v>12.3658752441406</v>
      </c>
    </row>
    <row r="560" spans="1:8" ht="14.25" customHeight="1" x14ac:dyDescent="0.2">
      <c r="A560" s="2">
        <v>46295.939791666664</v>
      </c>
      <c r="B560" s="1">
        <v>2800</v>
      </c>
      <c r="C560" s="1" t="s">
        <v>0</v>
      </c>
      <c r="D560" s="1">
        <v>49.1757202148438</v>
      </c>
      <c r="E560" s="2">
        <v>46295.939791666664</v>
      </c>
      <c r="F560" s="1">
        <v>2800</v>
      </c>
      <c r="G560" s="1" t="s">
        <v>0</v>
      </c>
      <c r="H560" s="1">
        <v>12.3121643066406</v>
      </c>
    </row>
    <row r="561" spans="1:8" ht="14.25" customHeight="1" x14ac:dyDescent="0.2">
      <c r="A561" s="2">
        <v>46295.939826388887</v>
      </c>
      <c r="B561" s="1">
        <v>2700</v>
      </c>
      <c r="C561" s="1" t="s">
        <v>0</v>
      </c>
      <c r="D561" s="1">
        <v>49.1513061523438</v>
      </c>
      <c r="E561" s="2">
        <v>46295.939826388887</v>
      </c>
      <c r="F561" s="1">
        <v>2700</v>
      </c>
      <c r="G561" s="1" t="s">
        <v>0</v>
      </c>
      <c r="H561" s="1">
        <v>13.3096313476563</v>
      </c>
    </row>
    <row r="562" spans="1:8" ht="14.25" customHeight="1" x14ac:dyDescent="0.2">
      <c r="A562" s="2">
        <v>46295.93986111111</v>
      </c>
      <c r="B562" s="1">
        <v>2600</v>
      </c>
      <c r="C562" s="1" t="s">
        <v>0</v>
      </c>
      <c r="D562" s="1">
        <v>49.058990478515597</v>
      </c>
      <c r="E562" s="2">
        <v>46295.93986111111</v>
      </c>
      <c r="F562" s="1">
        <v>2600</v>
      </c>
      <c r="G562" s="1" t="s">
        <v>0</v>
      </c>
      <c r="H562" s="1">
        <v>12.1723937988281</v>
      </c>
    </row>
    <row r="563" spans="1:8" ht="14.25" customHeight="1" x14ac:dyDescent="0.2">
      <c r="A563" s="2">
        <v>46295.939895833333</v>
      </c>
      <c r="B563" s="1">
        <v>2500</v>
      </c>
      <c r="C563" s="1" t="s">
        <v>0</v>
      </c>
      <c r="D563" s="1">
        <v>49.096527099609403</v>
      </c>
      <c r="E563" s="2">
        <v>46295.939895833333</v>
      </c>
      <c r="F563" s="1">
        <v>2500</v>
      </c>
      <c r="G563" s="1" t="s">
        <v>0</v>
      </c>
      <c r="H563" s="1">
        <v>12.0075988769531</v>
      </c>
    </row>
    <row r="564" spans="1:8" ht="14.25" customHeight="1" x14ac:dyDescent="0.2">
      <c r="A564" s="2">
        <v>46295.939930555556</v>
      </c>
      <c r="B564" s="1">
        <v>2400</v>
      </c>
      <c r="C564" s="1" t="s">
        <v>0</v>
      </c>
      <c r="D564" s="1">
        <v>49.0939331054688</v>
      </c>
      <c r="E564" s="2">
        <v>46295.939930555556</v>
      </c>
      <c r="F564" s="1">
        <v>2400</v>
      </c>
      <c r="G564" s="1" t="s">
        <v>0</v>
      </c>
      <c r="H564" s="1">
        <v>12.02392578125</v>
      </c>
    </row>
    <row r="565" spans="1:8" ht="14.25" customHeight="1" x14ac:dyDescent="0.2">
      <c r="A565" s="2">
        <v>46295.939965277779</v>
      </c>
      <c r="B565" s="1">
        <v>2300</v>
      </c>
      <c r="C565" s="1" t="s">
        <v>0</v>
      </c>
      <c r="D565" s="1">
        <v>10.87158203125</v>
      </c>
      <c r="E565" s="2">
        <v>46295.939965277779</v>
      </c>
      <c r="F565" s="1">
        <v>2300</v>
      </c>
      <c r="G565" s="1" t="s">
        <v>0</v>
      </c>
      <c r="H565" s="1">
        <v>11.6146850585938</v>
      </c>
    </row>
    <row r="566" spans="1:8" ht="14.25" customHeight="1" x14ac:dyDescent="0.2">
      <c r="A566" s="2">
        <v>46295.94</v>
      </c>
      <c r="B566" s="1">
        <v>2200</v>
      </c>
      <c r="C566" s="1" t="s">
        <v>0</v>
      </c>
      <c r="D566" s="1">
        <v>6.3270568847656303</v>
      </c>
      <c r="E566" s="2">
        <v>46295.94</v>
      </c>
      <c r="F566" s="1">
        <v>2200</v>
      </c>
      <c r="G566" s="1" t="s">
        <v>0</v>
      </c>
      <c r="H566" s="1">
        <v>11.2088012695313</v>
      </c>
    </row>
    <row r="567" spans="1:8" ht="14.25" customHeight="1" x14ac:dyDescent="0.2">
      <c r="A567" s="2">
        <v>46295.940034722225</v>
      </c>
      <c r="B567" s="1">
        <v>2100</v>
      </c>
      <c r="C567" s="1" t="s">
        <v>0</v>
      </c>
      <c r="D567" s="1">
        <v>9.84283447265625</v>
      </c>
      <c r="E567" s="2">
        <v>46295.940034722225</v>
      </c>
      <c r="F567" s="1">
        <v>2100</v>
      </c>
      <c r="G567" s="1" t="s">
        <v>0</v>
      </c>
      <c r="H567" s="1">
        <v>11.0420227050781</v>
      </c>
    </row>
    <row r="568" spans="1:8" ht="14.25" customHeight="1" x14ac:dyDescent="0.2">
      <c r="A568" s="2">
        <v>46295.940069444441</v>
      </c>
      <c r="B568" s="1">
        <v>2000</v>
      </c>
      <c r="C568" s="1" t="s">
        <v>0</v>
      </c>
      <c r="D568" s="1">
        <v>45.784149169921903</v>
      </c>
      <c r="E568" s="2">
        <v>46295.940069444441</v>
      </c>
      <c r="F568" s="1">
        <v>2000</v>
      </c>
      <c r="G568" s="1" t="s">
        <v>0</v>
      </c>
      <c r="H568" s="1">
        <v>10.928955078125</v>
      </c>
    </row>
    <row r="569" spans="1:8" ht="14.25" customHeight="1" x14ac:dyDescent="0.2">
      <c r="A569" s="2">
        <v>46295.940104166664</v>
      </c>
      <c r="B569" s="1">
        <v>1900</v>
      </c>
      <c r="C569" s="1" t="s">
        <v>0</v>
      </c>
      <c r="D569" s="1">
        <v>46.8795776367188</v>
      </c>
      <c r="E569" s="2">
        <v>46295.940104166664</v>
      </c>
      <c r="F569" s="1">
        <v>1900</v>
      </c>
      <c r="G569" s="1" t="s">
        <v>0</v>
      </c>
      <c r="H569" s="1">
        <v>10.5564880371094</v>
      </c>
    </row>
    <row r="570" spans="1:8" ht="14.25" customHeight="1" x14ac:dyDescent="0.2">
      <c r="A570" s="2">
        <v>46295.940138888887</v>
      </c>
      <c r="B570" s="1">
        <v>1800</v>
      </c>
      <c r="C570" s="1" t="s">
        <v>0</v>
      </c>
      <c r="D570" s="1">
        <v>47.2451782226563</v>
      </c>
      <c r="E570" s="2">
        <v>46295.940138888887</v>
      </c>
      <c r="F570" s="1">
        <v>1800</v>
      </c>
      <c r="G570" s="1" t="s">
        <v>0</v>
      </c>
      <c r="H570" s="1">
        <v>10.7414245605469</v>
      </c>
    </row>
    <row r="571" spans="1:8" ht="14.25" customHeight="1" x14ac:dyDescent="0.2">
      <c r="A571" s="2">
        <v>46295.94017361111</v>
      </c>
      <c r="B571" s="1">
        <v>1700</v>
      </c>
      <c r="C571" s="1" t="s">
        <v>0</v>
      </c>
      <c r="D571" s="1">
        <v>47.3812866210938</v>
      </c>
      <c r="E571" s="2">
        <v>46295.94017361111</v>
      </c>
      <c r="F571" s="1">
        <v>1700</v>
      </c>
      <c r="G571" s="1" t="s">
        <v>0</v>
      </c>
      <c r="H571" s="1">
        <v>10.7070922851563</v>
      </c>
    </row>
    <row r="572" spans="1:8" ht="14.25" customHeight="1" x14ac:dyDescent="0.2">
      <c r="A572" s="2">
        <v>46295.940208333333</v>
      </c>
      <c r="B572" s="1">
        <v>1600</v>
      </c>
      <c r="C572" s="1" t="s">
        <v>0</v>
      </c>
      <c r="D572" s="1">
        <v>47.4880981445313</v>
      </c>
      <c r="E572" s="2">
        <v>46295.940208333333</v>
      </c>
      <c r="F572" s="1">
        <v>1600</v>
      </c>
      <c r="G572" s="1" t="s">
        <v>0</v>
      </c>
      <c r="H572" s="1">
        <v>10.4344177246094</v>
      </c>
    </row>
    <row r="573" spans="1:8" ht="14.25" customHeight="1" x14ac:dyDescent="0.2">
      <c r="A573" s="2">
        <v>46295.940243055556</v>
      </c>
      <c r="B573" s="1">
        <v>1500</v>
      </c>
      <c r="C573" s="1" t="s">
        <v>0</v>
      </c>
      <c r="D573" s="1">
        <v>47.4722290039063</v>
      </c>
      <c r="E573" s="2">
        <v>46295.940243055556</v>
      </c>
      <c r="F573" s="1">
        <v>1500</v>
      </c>
      <c r="G573" s="1" t="s">
        <v>0</v>
      </c>
      <c r="H573" s="1">
        <v>10.1229858398438</v>
      </c>
    </row>
    <row r="574" spans="1:8" ht="14.25" customHeight="1" x14ac:dyDescent="0.2">
      <c r="A574" s="2">
        <v>46295.94027777778</v>
      </c>
      <c r="B574" s="1">
        <v>1400</v>
      </c>
      <c r="C574" s="1" t="s">
        <v>0</v>
      </c>
      <c r="D574" s="1">
        <v>47.476806640625</v>
      </c>
      <c r="E574" s="2">
        <v>46295.94027777778</v>
      </c>
      <c r="F574" s="1">
        <v>1400</v>
      </c>
      <c r="G574" s="1" t="s">
        <v>0</v>
      </c>
      <c r="H574" s="1">
        <v>9.9763488769531303</v>
      </c>
    </row>
    <row r="575" spans="1:8" ht="14.25" customHeight="1" x14ac:dyDescent="0.2">
      <c r="A575" s="2">
        <v>46295.940312500003</v>
      </c>
      <c r="B575" s="1">
        <v>1300</v>
      </c>
      <c r="C575" s="1" t="s">
        <v>0</v>
      </c>
      <c r="D575" s="1">
        <v>47.490997314453097</v>
      </c>
      <c r="E575" s="2">
        <v>46295.940312500003</v>
      </c>
      <c r="F575" s="1">
        <v>1300</v>
      </c>
      <c r="G575" s="1" t="s">
        <v>0</v>
      </c>
      <c r="H575" s="1">
        <v>9.8219299316406303</v>
      </c>
    </row>
    <row r="576" spans="1:8" ht="14.25" customHeight="1" x14ac:dyDescent="0.2">
      <c r="A576" s="2">
        <v>46295.940347222226</v>
      </c>
      <c r="B576" s="1">
        <v>1200</v>
      </c>
      <c r="C576" s="1" t="s">
        <v>0</v>
      </c>
      <c r="D576" s="1">
        <v>47.474365234375</v>
      </c>
      <c r="E576" s="2">
        <v>46295.940347222226</v>
      </c>
      <c r="F576" s="1">
        <v>1200</v>
      </c>
      <c r="G576" s="1" t="s">
        <v>0</v>
      </c>
      <c r="H576" s="1">
        <v>9.8176574707031303</v>
      </c>
    </row>
    <row r="577" spans="1:8" ht="14.25" customHeight="1" x14ac:dyDescent="0.2">
      <c r="A577" s="2">
        <v>46295.940393518518</v>
      </c>
      <c r="B577" s="1">
        <v>1100</v>
      </c>
      <c r="C577" s="1" t="s">
        <v>0</v>
      </c>
      <c r="D577" s="1">
        <v>47.449493408203097</v>
      </c>
      <c r="E577" s="2">
        <v>46295.940393518518</v>
      </c>
      <c r="F577" s="1">
        <v>1100</v>
      </c>
      <c r="G577" s="1" t="s">
        <v>0</v>
      </c>
      <c r="H577" s="1">
        <v>9.7663879394531303</v>
      </c>
    </row>
    <row r="578" spans="1:8" ht="14.25" customHeight="1" x14ac:dyDescent="0.2">
      <c r="A578" s="2">
        <v>46295.940428240741</v>
      </c>
      <c r="B578" s="1">
        <v>1000</v>
      </c>
      <c r="C578" s="1" t="s">
        <v>0</v>
      </c>
      <c r="D578" s="1">
        <v>47.4264526367188</v>
      </c>
      <c r="E578" s="2">
        <v>46295.940428240741</v>
      </c>
      <c r="F578" s="1">
        <v>1000</v>
      </c>
      <c r="G578" s="1" t="s">
        <v>0</v>
      </c>
      <c r="H578" s="1">
        <v>9.5951843261718803</v>
      </c>
    </row>
    <row r="579" spans="1:8" ht="14.25" customHeight="1" x14ac:dyDescent="0.2">
      <c r="A579" s="2">
        <v>46295.940462962964</v>
      </c>
      <c r="B579" s="1">
        <v>900</v>
      </c>
      <c r="C579" s="1" t="s">
        <v>0</v>
      </c>
      <c r="D579" s="1">
        <v>47.3785400390625</v>
      </c>
      <c r="E579" s="2">
        <v>46295.940462962964</v>
      </c>
      <c r="F579" s="1">
        <v>900</v>
      </c>
      <c r="G579" s="1" t="s">
        <v>0</v>
      </c>
      <c r="H579" s="1">
        <v>9.3623352050781303</v>
      </c>
    </row>
    <row r="580" spans="1:8" ht="14.25" customHeight="1" x14ac:dyDescent="0.2">
      <c r="A580" s="2">
        <v>46295.940497685187</v>
      </c>
      <c r="B580" s="1">
        <v>800</v>
      </c>
      <c r="C580" s="1" t="s">
        <v>0</v>
      </c>
      <c r="D580" s="1">
        <v>47.371978759765597</v>
      </c>
      <c r="E580" s="2">
        <v>46295.940497685187</v>
      </c>
      <c r="F580" s="1">
        <v>800</v>
      </c>
      <c r="G580" s="1" t="s">
        <v>0</v>
      </c>
      <c r="H580" s="1">
        <v>8.76678466796875</v>
      </c>
    </row>
    <row r="581" spans="1:8" ht="14.25" customHeight="1" x14ac:dyDescent="0.2">
      <c r="A581" s="2">
        <v>46295.940532407411</v>
      </c>
      <c r="B581" s="1">
        <v>700</v>
      </c>
      <c r="C581" s="1" t="s">
        <v>0</v>
      </c>
      <c r="D581" s="1">
        <v>47.3516845703125</v>
      </c>
      <c r="E581" s="2">
        <v>46295.940532407411</v>
      </c>
      <c r="F581" s="1">
        <v>700</v>
      </c>
      <c r="G581" s="1" t="s">
        <v>0</v>
      </c>
      <c r="H581" s="1">
        <v>8.68560791015625</v>
      </c>
    </row>
    <row r="582" spans="1:8" ht="14.25" customHeight="1" x14ac:dyDescent="0.2">
      <c r="A582" s="2">
        <v>46295.940567129626</v>
      </c>
      <c r="B582" s="1">
        <v>600</v>
      </c>
      <c r="C582" s="1" t="s">
        <v>0</v>
      </c>
      <c r="D582" s="1">
        <v>47.318267822265597</v>
      </c>
      <c r="E582" s="2">
        <v>46295.940567129626</v>
      </c>
      <c r="F582" s="1">
        <v>600</v>
      </c>
      <c r="G582" s="1" t="s">
        <v>0</v>
      </c>
      <c r="H582" s="1">
        <v>8.3689880371093803</v>
      </c>
    </row>
    <row r="583" spans="1:8" ht="14.25" customHeight="1" x14ac:dyDescent="0.2">
      <c r="A583" s="2">
        <v>46295.940601851849</v>
      </c>
      <c r="B583" s="1">
        <v>500</v>
      </c>
      <c r="C583" s="1" t="s">
        <v>0</v>
      </c>
      <c r="D583" s="1">
        <v>47.292327880859403</v>
      </c>
      <c r="E583" s="2">
        <v>46295.940601851849</v>
      </c>
      <c r="F583" s="1">
        <v>500</v>
      </c>
      <c r="G583" s="1" t="s">
        <v>0</v>
      </c>
      <c r="H583" s="1">
        <v>8.4251403808593803</v>
      </c>
    </row>
    <row r="584" spans="1:8" ht="14.25" customHeight="1" x14ac:dyDescent="0.2">
      <c r="A584" s="2">
        <v>46295.940636574072</v>
      </c>
      <c r="B584" s="1">
        <v>400</v>
      </c>
      <c r="C584" s="1" t="s">
        <v>0</v>
      </c>
      <c r="D584" s="1">
        <v>47.259063720703097</v>
      </c>
      <c r="E584" s="2">
        <v>46295.940636574072</v>
      </c>
      <c r="F584" s="1">
        <v>400</v>
      </c>
      <c r="G584" s="1" t="s">
        <v>0</v>
      </c>
      <c r="H584" s="1">
        <v>8.5601806640625</v>
      </c>
    </row>
    <row r="585" spans="1:8" ht="14.25" customHeight="1" x14ac:dyDescent="0.2">
      <c r="A585" s="2">
        <v>46295.940671296295</v>
      </c>
      <c r="B585" s="1">
        <v>300</v>
      </c>
      <c r="C585" s="1" t="s">
        <v>0</v>
      </c>
      <c r="D585" s="1">
        <v>47.2390747070313</v>
      </c>
      <c r="E585" s="2">
        <v>46295.940671296295</v>
      </c>
      <c r="F585" s="1">
        <v>300</v>
      </c>
      <c r="G585" s="1" t="s">
        <v>0</v>
      </c>
      <c r="H585" s="1">
        <v>8.44207763671875</v>
      </c>
    </row>
    <row r="586" spans="1:8" ht="14.25" customHeight="1" x14ac:dyDescent="0.2">
      <c r="A586" s="2">
        <v>46295.940706018519</v>
      </c>
      <c r="B586" s="1">
        <v>200</v>
      </c>
      <c r="C586" s="1" t="s">
        <v>0</v>
      </c>
      <c r="D586" s="1">
        <v>47.2262573242188</v>
      </c>
      <c r="E586" s="2">
        <v>46295.940706018519</v>
      </c>
      <c r="F586" s="1">
        <v>200</v>
      </c>
      <c r="G586" s="1" t="s">
        <v>0</v>
      </c>
      <c r="H586" s="1">
        <v>8.2844543457031303</v>
      </c>
    </row>
    <row r="587" spans="1:8" ht="14.25" customHeight="1" x14ac:dyDescent="0.2">
      <c r="A587" s="2">
        <v>46295.940740740742</v>
      </c>
      <c r="B587" s="1">
        <v>100</v>
      </c>
      <c r="C587" s="1" t="s">
        <v>0</v>
      </c>
      <c r="D587" s="1">
        <v>47.1820068359375</v>
      </c>
      <c r="E587" s="2">
        <v>46295.940740740742</v>
      </c>
      <c r="F587" s="1">
        <v>100</v>
      </c>
      <c r="G587" s="1" t="s">
        <v>0</v>
      </c>
      <c r="H587" s="1">
        <v>7.88543701171875</v>
      </c>
    </row>
    <row r="588" spans="1:8" ht="14.25" customHeight="1" x14ac:dyDescent="0.2">
      <c r="A588" s="2">
        <v>46295.940775462965</v>
      </c>
      <c r="B588" s="1">
        <v>0</v>
      </c>
      <c r="C588" s="1" t="s">
        <v>0</v>
      </c>
      <c r="D588" s="1">
        <v>47.181396484375</v>
      </c>
      <c r="E588" s="2">
        <v>46295.940775462965</v>
      </c>
      <c r="F588" s="1">
        <v>0</v>
      </c>
      <c r="G588" s="1" t="s">
        <v>0</v>
      </c>
      <c r="H588" s="1">
        <v>7.87506103515625</v>
      </c>
    </row>
    <row r="589" spans="1:8" ht="14.25" customHeight="1" x14ac:dyDescent="0.2">
      <c r="A589" s="2">
        <v>46295.940810185188</v>
      </c>
      <c r="B589" s="1">
        <v>-100</v>
      </c>
      <c r="C589" s="1" t="s">
        <v>0</v>
      </c>
      <c r="D589" s="1">
        <v>47.1566772460938</v>
      </c>
      <c r="E589" s="2">
        <v>46295.940810185188</v>
      </c>
      <c r="F589" s="1">
        <v>-100</v>
      </c>
      <c r="G589" s="1" t="s">
        <v>0</v>
      </c>
      <c r="H589" s="1">
        <v>8.1327819824218803</v>
      </c>
    </row>
    <row r="590" spans="1:8" ht="14.25" customHeight="1" x14ac:dyDescent="0.2">
      <c r="A590" s="2">
        <v>46295.940844907411</v>
      </c>
      <c r="B590" s="1">
        <v>-200</v>
      </c>
      <c r="C590" s="1" t="s">
        <v>0</v>
      </c>
      <c r="D590" s="1">
        <v>47.152862548828097</v>
      </c>
      <c r="E590" s="2">
        <v>46295.940844907411</v>
      </c>
      <c r="F590" s="1">
        <v>-200</v>
      </c>
      <c r="G590" s="1" t="s">
        <v>0</v>
      </c>
      <c r="H590" s="1">
        <v>8.0162048339843803</v>
      </c>
    </row>
    <row r="591" spans="1:8" ht="14.25" customHeight="1" x14ac:dyDescent="0.2">
      <c r="A591" s="2">
        <v>46295.940879629627</v>
      </c>
      <c r="B591" s="1">
        <v>-300</v>
      </c>
      <c r="C591" s="1" t="s">
        <v>0</v>
      </c>
      <c r="D591" s="1">
        <v>47.117767333984403</v>
      </c>
      <c r="E591" s="2">
        <v>46295.940879629627</v>
      </c>
      <c r="F591" s="1">
        <v>-300</v>
      </c>
      <c r="G591" s="1" t="s">
        <v>0</v>
      </c>
      <c r="H591" s="1">
        <v>8.0647277832031303</v>
      </c>
    </row>
    <row r="592" spans="1:8" ht="14.25" customHeight="1" x14ac:dyDescent="0.2">
      <c r="A592" s="2">
        <v>46295.94091435185</v>
      </c>
      <c r="B592" s="1">
        <v>-400</v>
      </c>
      <c r="C592" s="1" t="s">
        <v>0</v>
      </c>
      <c r="D592" s="1">
        <v>47.1075439453125</v>
      </c>
      <c r="E592" s="2">
        <v>46295.94091435185</v>
      </c>
      <c r="F592" s="1">
        <v>-400</v>
      </c>
      <c r="G592" s="1" t="s">
        <v>0</v>
      </c>
      <c r="H592" s="1">
        <v>7.7494812011718803</v>
      </c>
    </row>
    <row r="593" spans="1:8" ht="14.25" customHeight="1" x14ac:dyDescent="0.2">
      <c r="A593" s="2">
        <v>46295.940949074073</v>
      </c>
      <c r="B593" s="1">
        <v>-500</v>
      </c>
      <c r="C593" s="1" t="s">
        <v>0</v>
      </c>
      <c r="D593" s="1">
        <v>47.052764892578097</v>
      </c>
      <c r="E593" s="2">
        <v>46295.940949074073</v>
      </c>
      <c r="F593" s="1">
        <v>-500</v>
      </c>
      <c r="G593" s="1" t="s">
        <v>0</v>
      </c>
      <c r="H593" s="1">
        <v>8.3555603027343803</v>
      </c>
    </row>
    <row r="594" spans="1:8" ht="14.25" customHeight="1" x14ac:dyDescent="0.2">
      <c r="A594" s="2">
        <v>46295.940983796296</v>
      </c>
      <c r="B594" s="1">
        <v>-600</v>
      </c>
      <c r="C594" s="1" t="s">
        <v>0</v>
      </c>
      <c r="D594" s="1">
        <v>47.036895751953097</v>
      </c>
      <c r="E594" s="2">
        <v>46295.940983796296</v>
      </c>
      <c r="F594" s="1">
        <v>-600</v>
      </c>
      <c r="G594" s="1" t="s">
        <v>0</v>
      </c>
      <c r="H594" s="1">
        <v>8.172607421875</v>
      </c>
    </row>
    <row r="595" spans="1:8" ht="14.25" customHeight="1" x14ac:dyDescent="0.2">
      <c r="A595" s="2">
        <v>46295.941018518519</v>
      </c>
      <c r="B595" s="1">
        <v>-700</v>
      </c>
      <c r="C595" s="1" t="s">
        <v>0</v>
      </c>
      <c r="D595" s="1">
        <v>47.0223999023438</v>
      </c>
      <c r="E595" s="2">
        <v>46295.941018518519</v>
      </c>
      <c r="F595" s="1">
        <v>-700</v>
      </c>
      <c r="G595" s="1" t="s">
        <v>0</v>
      </c>
      <c r="H595" s="1">
        <v>8.648681640625</v>
      </c>
    </row>
    <row r="596" spans="1:8" ht="14.25" customHeight="1" x14ac:dyDescent="0.2">
      <c r="A596" s="2">
        <v>46295.941053240742</v>
      </c>
      <c r="B596" s="1">
        <v>-800</v>
      </c>
      <c r="C596" s="1" t="s">
        <v>0</v>
      </c>
      <c r="D596" s="1">
        <v>46.9964599609375</v>
      </c>
      <c r="E596" s="2">
        <v>46295.941053240742</v>
      </c>
      <c r="F596" s="1">
        <v>-800</v>
      </c>
      <c r="G596" s="1" t="s">
        <v>0</v>
      </c>
      <c r="H596" s="1">
        <v>8.34259033203125</v>
      </c>
    </row>
    <row r="597" spans="1:8" ht="14.25" customHeight="1" x14ac:dyDescent="0.2">
      <c r="A597" s="2">
        <v>46295.941087962965</v>
      </c>
      <c r="B597" s="1">
        <v>-900</v>
      </c>
      <c r="C597" s="1" t="s">
        <v>0</v>
      </c>
      <c r="D597" s="1">
        <v>46.9692993164063</v>
      </c>
      <c r="E597" s="2">
        <v>46295.941087962965</v>
      </c>
      <c r="F597" s="1">
        <v>-900</v>
      </c>
      <c r="G597" s="1" t="s">
        <v>0</v>
      </c>
      <c r="H597" s="1">
        <v>8.24554443359375</v>
      </c>
    </row>
    <row r="598" spans="1:8" ht="14.25" customHeight="1" x14ac:dyDescent="0.2">
      <c r="A598" s="2">
        <v>46295.941122685188</v>
      </c>
      <c r="B598" s="1">
        <v>-1000</v>
      </c>
      <c r="C598" s="1" t="s">
        <v>0</v>
      </c>
      <c r="D598" s="1">
        <v>46.9754028320313</v>
      </c>
      <c r="E598" s="2">
        <v>46295.941122685188</v>
      </c>
      <c r="F598" s="1">
        <v>-1000</v>
      </c>
      <c r="G598" s="1" t="s">
        <v>0</v>
      </c>
      <c r="H598" s="1">
        <v>8.0155944824218803</v>
      </c>
    </row>
    <row r="599" spans="1:8" ht="14.25" customHeight="1" x14ac:dyDescent="0.2">
      <c r="A599" s="2">
        <v>46295.941157407404</v>
      </c>
      <c r="B599" s="1">
        <v>-1100</v>
      </c>
      <c r="C599" s="1" t="s">
        <v>0</v>
      </c>
      <c r="D599" s="1">
        <v>46.934356689453097</v>
      </c>
      <c r="E599" s="2">
        <v>46295.941157407404</v>
      </c>
      <c r="F599" s="1">
        <v>-1100</v>
      </c>
      <c r="G599" s="1" t="s">
        <v>0</v>
      </c>
      <c r="H599" s="1">
        <v>8.0390930175781303</v>
      </c>
    </row>
    <row r="600" spans="1:8" ht="14.25" customHeight="1" x14ac:dyDescent="0.2">
      <c r="A600" s="2">
        <v>46295.941192129627</v>
      </c>
      <c r="B600" s="1">
        <v>-1200</v>
      </c>
      <c r="C600" s="1" t="s">
        <v>0</v>
      </c>
      <c r="D600" s="1">
        <v>46.907501220703097</v>
      </c>
      <c r="E600" s="2">
        <v>46295.941192129627</v>
      </c>
      <c r="F600" s="1">
        <v>-1200</v>
      </c>
      <c r="G600" s="1" t="s">
        <v>0</v>
      </c>
      <c r="H600" s="1">
        <v>7.9583740234375</v>
      </c>
    </row>
    <row r="601" spans="1:8" ht="14.25" customHeight="1" x14ac:dyDescent="0.2">
      <c r="A601" s="2">
        <v>46295.94122685185</v>
      </c>
      <c r="B601" s="1">
        <v>-1300</v>
      </c>
      <c r="C601" s="1" t="s">
        <v>0</v>
      </c>
      <c r="D601" s="1">
        <v>46.903533935546903</v>
      </c>
      <c r="E601" s="2">
        <v>46295.94122685185</v>
      </c>
      <c r="F601" s="1">
        <v>-1300</v>
      </c>
      <c r="G601" s="1" t="s">
        <v>0</v>
      </c>
      <c r="H601" s="1">
        <v>8.85345458984375</v>
      </c>
    </row>
    <row r="602" spans="1:8" ht="14.25" customHeight="1" x14ac:dyDescent="0.2">
      <c r="A602" s="2">
        <v>46295.941261574073</v>
      </c>
      <c r="B602" s="1">
        <v>-1400</v>
      </c>
      <c r="C602" s="1" t="s">
        <v>0</v>
      </c>
      <c r="D602" s="1">
        <v>46.8603515625</v>
      </c>
      <c r="E602" s="2">
        <v>46295.941261574073</v>
      </c>
      <c r="F602" s="1">
        <v>-1400</v>
      </c>
      <c r="G602" s="1" t="s">
        <v>0</v>
      </c>
      <c r="H602" s="1">
        <v>7.7069091796875</v>
      </c>
    </row>
    <row r="603" spans="1:8" ht="14.25" customHeight="1" x14ac:dyDescent="0.2">
      <c r="A603" s="2">
        <v>46295.941296296296</v>
      </c>
      <c r="B603" s="1">
        <v>-1500</v>
      </c>
      <c r="C603" s="1" t="s">
        <v>0</v>
      </c>
      <c r="D603" s="1">
        <v>46.878814697265597</v>
      </c>
      <c r="E603" s="2">
        <v>46295.941296296296</v>
      </c>
      <c r="F603" s="1">
        <v>-1500</v>
      </c>
      <c r="G603" s="1" t="s">
        <v>0</v>
      </c>
      <c r="H603" s="1">
        <v>7.9008483886718803</v>
      </c>
    </row>
    <row r="604" spans="1:8" ht="14.25" customHeight="1" x14ac:dyDescent="0.2">
      <c r="A604" s="2">
        <v>46295.941331018519</v>
      </c>
      <c r="B604" s="1">
        <v>-1600</v>
      </c>
      <c r="C604" s="1" t="s">
        <v>0</v>
      </c>
      <c r="D604" s="1">
        <v>46.8572998046875</v>
      </c>
      <c r="E604" s="2">
        <v>46295.941331018519</v>
      </c>
      <c r="F604" s="1">
        <v>-1600</v>
      </c>
      <c r="G604" s="1" t="s">
        <v>0</v>
      </c>
      <c r="H604" s="1">
        <v>8.2301330566406303</v>
      </c>
    </row>
    <row r="605" spans="1:8" ht="14.25" customHeight="1" x14ac:dyDescent="0.2">
      <c r="A605" s="2">
        <v>46295.941365740742</v>
      </c>
      <c r="B605" s="1">
        <v>-1700</v>
      </c>
      <c r="C605" s="1" t="s">
        <v>0</v>
      </c>
      <c r="D605" s="1">
        <v>46.8511962890625</v>
      </c>
      <c r="E605" s="2">
        <v>46295.941365740742</v>
      </c>
      <c r="F605" s="1">
        <v>-1700</v>
      </c>
      <c r="G605" s="1" t="s">
        <v>0</v>
      </c>
      <c r="H605" s="1">
        <v>8.2801818847656303</v>
      </c>
    </row>
    <row r="606" spans="1:8" ht="14.25" customHeight="1" x14ac:dyDescent="0.2">
      <c r="A606" s="2">
        <v>46295.941400462965</v>
      </c>
      <c r="B606" s="1">
        <v>-1800</v>
      </c>
      <c r="C606" s="1" t="s">
        <v>0</v>
      </c>
      <c r="D606" s="1">
        <v>46.810302734375</v>
      </c>
      <c r="E606" s="2">
        <v>46295.941400462965</v>
      </c>
      <c r="F606" s="1">
        <v>-1800</v>
      </c>
      <c r="G606" s="1" t="s">
        <v>0</v>
      </c>
      <c r="H606" s="1">
        <v>8.1744384765625</v>
      </c>
    </row>
    <row r="607" spans="1:8" ht="14.25" customHeight="1" x14ac:dyDescent="0.2">
      <c r="A607" s="2">
        <v>46295.941435185188</v>
      </c>
      <c r="B607" s="1">
        <v>-1900</v>
      </c>
      <c r="C607" s="1" t="s">
        <v>0</v>
      </c>
      <c r="D607" s="1">
        <v>46.835174560546903</v>
      </c>
      <c r="E607" s="2">
        <v>46295.941435185188</v>
      </c>
      <c r="F607" s="1">
        <v>-1900</v>
      </c>
      <c r="G607" s="1" t="s">
        <v>0</v>
      </c>
      <c r="H607" s="1">
        <v>7.97119140625</v>
      </c>
    </row>
    <row r="608" spans="1:8" ht="14.25" customHeight="1" x14ac:dyDescent="0.2">
      <c r="A608" s="2">
        <v>46295.941469907404</v>
      </c>
      <c r="B608" s="1">
        <v>-2000</v>
      </c>
      <c r="C608" s="1" t="s">
        <v>0</v>
      </c>
      <c r="D608" s="1">
        <v>46.788330078125</v>
      </c>
      <c r="E608" s="2">
        <v>46295.941469907404</v>
      </c>
      <c r="F608" s="1">
        <v>-2000</v>
      </c>
      <c r="G608" s="1" t="s">
        <v>0</v>
      </c>
      <c r="H608" s="1">
        <v>8.00201416015625</v>
      </c>
    </row>
    <row r="609" spans="1:8" ht="14.2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4.25" customHeight="1" x14ac:dyDescent="0.2">
      <c r="A610" s="2">
        <v>46295.94327546296</v>
      </c>
      <c r="B610" s="1">
        <v>5000</v>
      </c>
      <c r="C610" s="1" t="s">
        <v>0</v>
      </c>
      <c r="D610" s="1">
        <v>46.808013916015597</v>
      </c>
      <c r="E610" s="2">
        <v>46295.94327546296</v>
      </c>
      <c r="F610" s="1">
        <v>5000</v>
      </c>
      <c r="G610" s="1" t="s">
        <v>0</v>
      </c>
      <c r="H610" s="1">
        <v>15.4536437988281</v>
      </c>
    </row>
    <row r="611" spans="1:8" ht="14.25" customHeight="1" x14ac:dyDescent="0.2">
      <c r="A611" s="2">
        <v>46295.943310185183</v>
      </c>
      <c r="B611" s="1">
        <v>4900</v>
      </c>
      <c r="C611" s="1" t="s">
        <v>0</v>
      </c>
      <c r="D611" s="1">
        <v>46.804046630859403</v>
      </c>
      <c r="E611" s="2">
        <v>46295.943310185183</v>
      </c>
      <c r="F611" s="1">
        <v>4900</v>
      </c>
      <c r="G611" s="1" t="s">
        <v>0</v>
      </c>
      <c r="H611" s="1">
        <v>15.1910400390625</v>
      </c>
    </row>
    <row r="612" spans="1:8" ht="14.25" customHeight="1" x14ac:dyDescent="0.2">
      <c r="A612" s="2">
        <v>46295.943344907406</v>
      </c>
      <c r="B612" s="1">
        <v>4800</v>
      </c>
      <c r="C612" s="1" t="s">
        <v>0</v>
      </c>
      <c r="D612" s="1">
        <v>46.816864013671903</v>
      </c>
      <c r="E612" s="2">
        <v>46295.943344907406</v>
      </c>
      <c r="F612" s="1">
        <v>4800</v>
      </c>
      <c r="G612" s="1" t="s">
        <v>0</v>
      </c>
      <c r="H612" s="1">
        <v>15.3152465820313</v>
      </c>
    </row>
    <row r="613" spans="1:8" ht="14.25" customHeight="1" x14ac:dyDescent="0.2">
      <c r="A613" s="2">
        <v>46295.943379629629</v>
      </c>
      <c r="B613" s="1">
        <v>4700</v>
      </c>
      <c r="C613" s="1" t="s">
        <v>0</v>
      </c>
      <c r="D613" s="1">
        <v>46.797332763671903</v>
      </c>
      <c r="E613" s="2">
        <v>46295.943379629629</v>
      </c>
      <c r="F613" s="1">
        <v>4700</v>
      </c>
      <c r="G613" s="1" t="s">
        <v>0</v>
      </c>
      <c r="H613" s="1">
        <v>15.1957702636719</v>
      </c>
    </row>
    <row r="614" spans="1:8" ht="14.25" customHeight="1" x14ac:dyDescent="0.2">
      <c r="A614" s="2">
        <v>46295.943414351852</v>
      </c>
      <c r="B614" s="1">
        <v>4600</v>
      </c>
      <c r="C614" s="1" t="s">
        <v>0</v>
      </c>
      <c r="D614" s="1">
        <v>46.82373046875</v>
      </c>
      <c r="E614" s="2">
        <v>46295.943414351852</v>
      </c>
      <c r="F614" s="1">
        <v>4600</v>
      </c>
      <c r="G614" s="1" t="s">
        <v>0</v>
      </c>
      <c r="H614" s="1">
        <v>15.1861572265625</v>
      </c>
    </row>
    <row r="615" spans="1:8" ht="14.25" customHeight="1" x14ac:dyDescent="0.2">
      <c r="A615" s="2">
        <v>46295.943449074075</v>
      </c>
      <c r="B615" s="1">
        <v>4500</v>
      </c>
      <c r="C615" s="1" t="s">
        <v>0</v>
      </c>
      <c r="D615" s="1">
        <v>46.8283081054688</v>
      </c>
      <c r="E615" s="2">
        <v>46295.943449074075</v>
      </c>
      <c r="F615" s="1">
        <v>4500</v>
      </c>
      <c r="G615" s="1" t="s">
        <v>0</v>
      </c>
      <c r="H615" s="1">
        <v>15.27587890625</v>
      </c>
    </row>
    <row r="616" spans="1:8" ht="14.25" customHeight="1" x14ac:dyDescent="0.2">
      <c r="A616" s="2">
        <v>46295.943483796298</v>
      </c>
      <c r="B616" s="1">
        <v>4400</v>
      </c>
      <c r="C616" s="1" t="s">
        <v>0</v>
      </c>
      <c r="D616" s="1">
        <v>46.8258666992188</v>
      </c>
      <c r="E616" s="2">
        <v>46295.943483796298</v>
      </c>
      <c r="F616" s="1">
        <v>4400</v>
      </c>
      <c r="G616" s="1" t="s">
        <v>0</v>
      </c>
      <c r="H616" s="1">
        <v>16.376953125</v>
      </c>
    </row>
    <row r="617" spans="1:8" ht="14.25" customHeight="1" x14ac:dyDescent="0.2">
      <c r="A617" s="2">
        <v>46295.943518518521</v>
      </c>
      <c r="B617" s="1">
        <v>4300</v>
      </c>
      <c r="C617" s="1" t="s">
        <v>0</v>
      </c>
      <c r="D617" s="1">
        <v>46.826019287109403</v>
      </c>
      <c r="E617" s="2">
        <v>46295.943518518521</v>
      </c>
      <c r="F617" s="1">
        <v>4300</v>
      </c>
      <c r="G617" s="1" t="s">
        <v>0</v>
      </c>
      <c r="H617" s="1">
        <v>15.0537109375</v>
      </c>
    </row>
    <row r="618" spans="1:8" ht="14.25" customHeight="1" x14ac:dyDescent="0.2">
      <c r="A618" s="2">
        <v>46295.943553240744</v>
      </c>
      <c r="B618" s="1">
        <v>4200</v>
      </c>
      <c r="C618" s="1" t="s">
        <v>0</v>
      </c>
      <c r="D618" s="1">
        <v>46.853790283203097</v>
      </c>
      <c r="E618" s="2">
        <v>46295.943553240744</v>
      </c>
      <c r="F618" s="1">
        <v>4200</v>
      </c>
      <c r="G618" s="1" t="s">
        <v>0</v>
      </c>
      <c r="H618" s="1">
        <v>14.7080993652344</v>
      </c>
    </row>
    <row r="619" spans="1:8" ht="14.25" customHeight="1" x14ac:dyDescent="0.2">
      <c r="A619" s="2">
        <v>46295.94358796296</v>
      </c>
      <c r="B619" s="1">
        <v>4100</v>
      </c>
      <c r="C619" s="1" t="s">
        <v>0</v>
      </c>
      <c r="D619" s="1">
        <v>46.833953857421903</v>
      </c>
      <c r="E619" s="2">
        <v>46295.94358796296</v>
      </c>
      <c r="F619" s="1">
        <v>4100</v>
      </c>
      <c r="G619" s="1" t="s">
        <v>0</v>
      </c>
      <c r="H619" s="1">
        <v>14.4741821289063</v>
      </c>
    </row>
    <row r="620" spans="1:8" ht="14.25" customHeight="1" x14ac:dyDescent="0.2">
      <c r="A620" s="2">
        <v>46295.943622685183</v>
      </c>
      <c r="B620" s="1">
        <v>4000</v>
      </c>
      <c r="C620" s="1" t="s">
        <v>0</v>
      </c>
      <c r="D620" s="1">
        <v>46.845550537109403</v>
      </c>
      <c r="E620" s="2">
        <v>46295.943622685183</v>
      </c>
      <c r="F620" s="1">
        <v>4000</v>
      </c>
      <c r="G620" s="1" t="s">
        <v>0</v>
      </c>
      <c r="H620" s="1">
        <v>14.354248046875</v>
      </c>
    </row>
    <row r="621" spans="1:8" ht="14.25" customHeight="1" x14ac:dyDescent="0.2">
      <c r="A621" s="2">
        <v>46295.943657407406</v>
      </c>
      <c r="B621" s="1">
        <v>3900</v>
      </c>
      <c r="C621" s="1" t="s">
        <v>0</v>
      </c>
      <c r="D621" s="1">
        <v>46.845855712890597</v>
      </c>
      <c r="E621" s="2">
        <v>46295.943657407406</v>
      </c>
      <c r="F621" s="1">
        <v>3900</v>
      </c>
      <c r="G621" s="1" t="s">
        <v>0</v>
      </c>
      <c r="H621" s="1">
        <v>14.224853515625</v>
      </c>
    </row>
    <row r="622" spans="1:8" ht="14.25" customHeight="1" x14ac:dyDescent="0.2">
      <c r="A622" s="2">
        <v>46295.943692129629</v>
      </c>
      <c r="B622" s="1">
        <v>3800</v>
      </c>
      <c r="C622" s="1" t="s">
        <v>0</v>
      </c>
      <c r="D622" s="1">
        <v>46.8417358398438</v>
      </c>
      <c r="E622" s="2">
        <v>46295.943692129629</v>
      </c>
      <c r="F622" s="1">
        <v>3800</v>
      </c>
      <c r="G622" s="1" t="s">
        <v>0</v>
      </c>
      <c r="H622" s="1">
        <v>14.2349243164063</v>
      </c>
    </row>
    <row r="623" spans="1:8" ht="14.25" customHeight="1" x14ac:dyDescent="0.2">
      <c r="A623" s="2">
        <v>46295.943726851852</v>
      </c>
      <c r="B623" s="1">
        <v>3700</v>
      </c>
      <c r="C623" s="1" t="s">
        <v>0</v>
      </c>
      <c r="D623" s="1">
        <v>46.8502807617188</v>
      </c>
      <c r="E623" s="2">
        <v>46295.943726851852</v>
      </c>
      <c r="F623" s="1">
        <v>3700</v>
      </c>
      <c r="G623" s="1" t="s">
        <v>0</v>
      </c>
      <c r="H623" s="1">
        <v>14.1551208496094</v>
      </c>
    </row>
    <row r="624" spans="1:8" ht="14.25" customHeight="1" x14ac:dyDescent="0.2">
      <c r="A624" s="2">
        <v>46295.943761574075</v>
      </c>
      <c r="B624" s="1">
        <v>3600</v>
      </c>
      <c r="C624" s="1" t="s">
        <v>0</v>
      </c>
      <c r="D624" s="1">
        <v>46.869354248046903</v>
      </c>
      <c r="E624" s="2">
        <v>46295.943761574075</v>
      </c>
      <c r="F624" s="1">
        <v>3600</v>
      </c>
      <c r="G624" s="1" t="s">
        <v>0</v>
      </c>
      <c r="H624" s="1">
        <v>14.0451049804688</v>
      </c>
    </row>
    <row r="625" spans="1:8" ht="14.25" customHeight="1" x14ac:dyDescent="0.2">
      <c r="A625" s="2">
        <v>46295.943796296298</v>
      </c>
      <c r="B625" s="1">
        <v>3500</v>
      </c>
      <c r="C625" s="1" t="s">
        <v>0</v>
      </c>
      <c r="D625" s="1">
        <v>46.856689453125</v>
      </c>
      <c r="E625" s="2">
        <v>46295.943796296298</v>
      </c>
      <c r="F625" s="1">
        <v>3500</v>
      </c>
      <c r="G625" s="1" t="s">
        <v>0</v>
      </c>
      <c r="H625" s="1">
        <v>13.8392639160156</v>
      </c>
    </row>
    <row r="626" spans="1:8" ht="14.25" customHeight="1" x14ac:dyDescent="0.2">
      <c r="A626" s="2">
        <v>46295.943831018521</v>
      </c>
      <c r="B626" s="1">
        <v>3400</v>
      </c>
      <c r="C626" s="1" t="s">
        <v>0</v>
      </c>
      <c r="D626" s="1">
        <v>46.867218017578097</v>
      </c>
      <c r="E626" s="2">
        <v>46295.943831018521</v>
      </c>
      <c r="F626" s="1">
        <v>3400</v>
      </c>
      <c r="G626" s="1" t="s">
        <v>0</v>
      </c>
      <c r="H626" s="1">
        <v>13.7904357910156</v>
      </c>
    </row>
    <row r="627" spans="1:8" ht="14.25" customHeight="1" x14ac:dyDescent="0.2">
      <c r="A627" s="2">
        <v>46295.943865740737</v>
      </c>
      <c r="B627" s="1">
        <v>3300</v>
      </c>
      <c r="C627" s="1" t="s">
        <v>0</v>
      </c>
      <c r="D627" s="1">
        <v>46.8966674804688</v>
      </c>
      <c r="E627" s="2">
        <v>46295.943865740737</v>
      </c>
      <c r="F627" s="1">
        <v>3300</v>
      </c>
      <c r="G627" s="1" t="s">
        <v>0</v>
      </c>
      <c r="H627" s="1">
        <v>13.6427307128906</v>
      </c>
    </row>
    <row r="628" spans="1:8" ht="14.25" customHeight="1" x14ac:dyDescent="0.2">
      <c r="A628" s="2">
        <v>46295.94390046296</v>
      </c>
      <c r="B628" s="1">
        <v>3200</v>
      </c>
      <c r="C628" s="1" t="s">
        <v>0</v>
      </c>
      <c r="D628" s="1">
        <v>46.8899536132813</v>
      </c>
      <c r="E628" s="2">
        <v>46295.94390046296</v>
      </c>
      <c r="F628" s="1">
        <v>3200</v>
      </c>
      <c r="G628" s="1" t="s">
        <v>0</v>
      </c>
      <c r="H628" s="1">
        <v>13.3454895019531</v>
      </c>
    </row>
    <row r="629" spans="1:8" ht="14.25" customHeight="1" x14ac:dyDescent="0.2">
      <c r="A629" s="2">
        <v>46295.943935185183</v>
      </c>
      <c r="B629" s="1">
        <v>3100</v>
      </c>
      <c r="C629" s="1" t="s">
        <v>0</v>
      </c>
      <c r="D629" s="1">
        <v>46.8923950195313</v>
      </c>
      <c r="E629" s="2">
        <v>46295.943935185183</v>
      </c>
      <c r="F629" s="1">
        <v>3100</v>
      </c>
      <c r="G629" s="1" t="s">
        <v>0</v>
      </c>
      <c r="H629" s="1">
        <v>13.1712341308594</v>
      </c>
    </row>
    <row r="630" spans="1:8" ht="14.25" customHeight="1" x14ac:dyDescent="0.2">
      <c r="A630" s="2">
        <v>46295.943969907406</v>
      </c>
      <c r="B630" s="1">
        <v>3000</v>
      </c>
      <c r="C630" s="1" t="s">
        <v>0</v>
      </c>
      <c r="D630" s="1">
        <v>46.902618408203097</v>
      </c>
      <c r="E630" s="2">
        <v>46295.943969907406</v>
      </c>
      <c r="F630" s="1">
        <v>3000</v>
      </c>
      <c r="G630" s="1" t="s">
        <v>0</v>
      </c>
      <c r="H630" s="1">
        <v>13.0682373046875</v>
      </c>
    </row>
    <row r="631" spans="1:8" ht="14.25" customHeight="1" x14ac:dyDescent="0.2">
      <c r="A631" s="2">
        <v>46295.944004629629</v>
      </c>
      <c r="B631" s="1">
        <v>2900</v>
      </c>
      <c r="C631" s="1" t="s">
        <v>0</v>
      </c>
      <c r="D631" s="1">
        <v>46.9192504882813</v>
      </c>
      <c r="E631" s="2">
        <v>46295.944004629629</v>
      </c>
      <c r="F631" s="1">
        <v>2900</v>
      </c>
      <c r="G631" s="1" t="s">
        <v>0</v>
      </c>
      <c r="H631" s="1">
        <v>12.8865051269531</v>
      </c>
    </row>
    <row r="632" spans="1:8" ht="14.25" customHeight="1" x14ac:dyDescent="0.2">
      <c r="A632" s="2">
        <v>46295.944039351853</v>
      </c>
      <c r="B632" s="1">
        <v>2800</v>
      </c>
      <c r="C632" s="1" t="s">
        <v>0</v>
      </c>
      <c r="D632" s="1">
        <v>46.9076538085938</v>
      </c>
      <c r="E632" s="2">
        <v>46295.944039351853</v>
      </c>
      <c r="F632" s="1">
        <v>2800</v>
      </c>
      <c r="G632" s="1" t="s">
        <v>0</v>
      </c>
      <c r="H632" s="1">
        <v>12.9147338867188</v>
      </c>
    </row>
    <row r="633" spans="1:8" ht="14.25" customHeight="1" x14ac:dyDescent="0.2">
      <c r="A633" s="2">
        <v>46295.944074074076</v>
      </c>
      <c r="B633" s="1">
        <v>2700</v>
      </c>
      <c r="C633" s="1" t="s">
        <v>0</v>
      </c>
      <c r="D633" s="1">
        <v>46.902923583984403</v>
      </c>
      <c r="E633" s="2">
        <v>46295.944074074076</v>
      </c>
      <c r="F633" s="1">
        <v>2700</v>
      </c>
      <c r="G633" s="1" t="s">
        <v>0</v>
      </c>
      <c r="H633" s="1">
        <v>12.7578735351563</v>
      </c>
    </row>
    <row r="634" spans="1:8" ht="14.25" customHeight="1" x14ac:dyDescent="0.2">
      <c r="A634" s="2">
        <v>46295.944108796299</v>
      </c>
      <c r="B634" s="1">
        <v>2600</v>
      </c>
      <c r="C634" s="1" t="s">
        <v>0</v>
      </c>
      <c r="D634" s="1">
        <v>46.9235229492188</v>
      </c>
      <c r="E634" s="2">
        <v>46295.944108796299</v>
      </c>
      <c r="F634" s="1">
        <v>2600</v>
      </c>
      <c r="G634" s="1" t="s">
        <v>0</v>
      </c>
      <c r="H634" s="1">
        <v>12.7215576171875</v>
      </c>
    </row>
    <row r="635" spans="1:8" ht="14.25" customHeight="1" x14ac:dyDescent="0.2">
      <c r="A635" s="2">
        <v>46295.944143518522</v>
      </c>
      <c r="B635" s="1">
        <v>2500</v>
      </c>
      <c r="C635" s="1" t="s">
        <v>0</v>
      </c>
      <c r="D635" s="1">
        <v>46.929168701171903</v>
      </c>
      <c r="E635" s="2">
        <v>46295.944143518522</v>
      </c>
      <c r="F635" s="1">
        <v>2500</v>
      </c>
      <c r="G635" s="1" t="s">
        <v>0</v>
      </c>
      <c r="H635" s="1">
        <v>12.5106811523438</v>
      </c>
    </row>
    <row r="636" spans="1:8" ht="14.25" customHeight="1" x14ac:dyDescent="0.2">
      <c r="A636" s="2">
        <v>46295.944178240738</v>
      </c>
      <c r="B636" s="1">
        <v>2400</v>
      </c>
      <c r="C636" s="1" t="s">
        <v>0</v>
      </c>
      <c r="D636" s="1">
        <v>46.929779052734403</v>
      </c>
      <c r="E636" s="2">
        <v>46295.944178240738</v>
      </c>
      <c r="F636" s="1">
        <v>2400</v>
      </c>
      <c r="G636" s="1" t="s">
        <v>0</v>
      </c>
      <c r="H636" s="1">
        <v>12.2518920898438</v>
      </c>
    </row>
    <row r="637" spans="1:8" ht="14.25" customHeight="1" x14ac:dyDescent="0.2">
      <c r="A637" s="2">
        <v>46295.944212962961</v>
      </c>
      <c r="B637" s="1">
        <v>2300</v>
      </c>
      <c r="C637" s="1" t="s">
        <v>0</v>
      </c>
      <c r="D637" s="1">
        <v>46.9232177734375</v>
      </c>
      <c r="E637" s="2">
        <v>46295.944212962961</v>
      </c>
      <c r="F637" s="1">
        <v>2300</v>
      </c>
      <c r="G637" s="1" t="s">
        <v>0</v>
      </c>
      <c r="H637" s="1">
        <v>12.4714660644531</v>
      </c>
    </row>
    <row r="638" spans="1:8" ht="14.25" customHeight="1" x14ac:dyDescent="0.2">
      <c r="A638" s="2">
        <v>46295.944247685184</v>
      </c>
      <c r="B638" s="1">
        <v>2200</v>
      </c>
      <c r="C638" s="1" t="s">
        <v>0</v>
      </c>
      <c r="D638" s="1">
        <v>46.94091796875</v>
      </c>
      <c r="E638" s="2">
        <v>46295.944247685184</v>
      </c>
      <c r="F638" s="1">
        <v>2200</v>
      </c>
      <c r="G638" s="1" t="s">
        <v>0</v>
      </c>
      <c r="H638" s="1">
        <v>11.9218444824219</v>
      </c>
    </row>
    <row r="639" spans="1:8" ht="14.25" customHeight="1" x14ac:dyDescent="0.2">
      <c r="A639" s="2">
        <v>46295.944282407407</v>
      </c>
      <c r="B639" s="1">
        <v>2100</v>
      </c>
      <c r="C639" s="1" t="s">
        <v>0</v>
      </c>
      <c r="D639" s="1">
        <v>46.969451904296903</v>
      </c>
      <c r="E639" s="2">
        <v>46295.944282407407</v>
      </c>
      <c r="F639" s="1">
        <v>2100</v>
      </c>
      <c r="G639" s="1" t="s">
        <v>0</v>
      </c>
      <c r="H639" s="1">
        <v>11.9020080566406</v>
      </c>
    </row>
    <row r="640" spans="1:8" ht="14.25" customHeight="1" x14ac:dyDescent="0.2">
      <c r="A640" s="2">
        <v>46295.94431712963</v>
      </c>
      <c r="B640" s="1">
        <v>2000</v>
      </c>
      <c r="C640" s="1" t="s">
        <v>0</v>
      </c>
      <c r="D640" s="1">
        <v>46.9384765625</v>
      </c>
      <c r="E640" s="2">
        <v>46295.94431712963</v>
      </c>
      <c r="F640" s="1">
        <v>2000</v>
      </c>
      <c r="G640" s="1" t="s">
        <v>0</v>
      </c>
      <c r="H640" s="1">
        <v>11.9764709472656</v>
      </c>
    </row>
    <row r="641" spans="1:8" ht="14.25" customHeight="1" x14ac:dyDescent="0.2">
      <c r="A641" s="2">
        <v>46295.944351851853</v>
      </c>
      <c r="B641" s="1">
        <v>1900</v>
      </c>
      <c r="C641" s="1" t="s">
        <v>0</v>
      </c>
      <c r="D641" s="1">
        <v>46.943206787109403</v>
      </c>
      <c r="E641" s="2">
        <v>46295.944351851853</v>
      </c>
      <c r="F641" s="1">
        <v>1900</v>
      </c>
      <c r="G641" s="1" t="s">
        <v>0</v>
      </c>
      <c r="H641" s="1">
        <v>13.7850952148438</v>
      </c>
    </row>
    <row r="642" spans="1:8" ht="14.25" customHeight="1" x14ac:dyDescent="0.2">
      <c r="A642" s="2">
        <v>46295.944386574076</v>
      </c>
      <c r="B642" s="1">
        <v>1800</v>
      </c>
      <c r="C642" s="1" t="s">
        <v>0</v>
      </c>
      <c r="D642" s="1">
        <v>46.9287109375</v>
      </c>
      <c r="E642" s="2">
        <v>46295.944386574076</v>
      </c>
      <c r="F642" s="1">
        <v>1800</v>
      </c>
      <c r="G642" s="1" t="s">
        <v>0</v>
      </c>
      <c r="H642" s="1">
        <v>11.7864990234375</v>
      </c>
    </row>
    <row r="643" spans="1:8" ht="14.25" customHeight="1" x14ac:dyDescent="0.2">
      <c r="A643" s="2">
        <v>46295.944421296299</v>
      </c>
      <c r="B643" s="1">
        <v>1700</v>
      </c>
      <c r="C643" s="1" t="s">
        <v>0</v>
      </c>
      <c r="D643" s="1">
        <v>46.941680908203097</v>
      </c>
      <c r="E643" s="2">
        <v>46295.944421296299</v>
      </c>
      <c r="F643" s="1">
        <v>1700</v>
      </c>
      <c r="G643" s="1" t="s">
        <v>0</v>
      </c>
      <c r="H643" s="1">
        <v>11.4706420898438</v>
      </c>
    </row>
    <row r="644" spans="1:8" ht="14.25" customHeight="1" x14ac:dyDescent="0.2">
      <c r="A644" s="2">
        <v>46295.944456018522</v>
      </c>
      <c r="B644" s="1">
        <v>1600</v>
      </c>
      <c r="C644" s="1" t="s">
        <v>0</v>
      </c>
      <c r="D644" s="1">
        <v>46.967010498046903</v>
      </c>
      <c r="E644" s="2">
        <v>46295.944456018522</v>
      </c>
      <c r="F644" s="1">
        <v>1600</v>
      </c>
      <c r="G644" s="1" t="s">
        <v>0</v>
      </c>
      <c r="H644" s="1">
        <v>10.9999084472656</v>
      </c>
    </row>
    <row r="645" spans="1:8" ht="14.25" customHeight="1" x14ac:dyDescent="0.2">
      <c r="A645" s="2">
        <v>46295.944490740738</v>
      </c>
      <c r="B645" s="1">
        <v>1500</v>
      </c>
      <c r="C645" s="1" t="s">
        <v>0</v>
      </c>
      <c r="D645" s="1">
        <v>46.9277954101563</v>
      </c>
      <c r="E645" s="2">
        <v>46295.944490740738</v>
      </c>
      <c r="F645" s="1">
        <v>1500</v>
      </c>
      <c r="G645" s="1" t="s">
        <v>0</v>
      </c>
      <c r="H645" s="1">
        <v>11.0989379882813</v>
      </c>
    </row>
    <row r="646" spans="1:8" ht="14.25" customHeight="1" x14ac:dyDescent="0.2">
      <c r="A646" s="2">
        <v>46295.944525462961</v>
      </c>
      <c r="B646" s="1">
        <v>1400</v>
      </c>
      <c r="C646" s="1" t="s">
        <v>0</v>
      </c>
      <c r="D646" s="1">
        <v>46.96533203125</v>
      </c>
      <c r="E646" s="2">
        <v>46295.944525462961</v>
      </c>
      <c r="F646" s="1">
        <v>1400</v>
      </c>
      <c r="G646" s="1" t="s">
        <v>0</v>
      </c>
      <c r="H646" s="1">
        <v>11.5350341796875</v>
      </c>
    </row>
    <row r="647" spans="1:8" ht="14.25" customHeight="1" x14ac:dyDescent="0.2">
      <c r="A647" s="2">
        <v>46295.944560185184</v>
      </c>
      <c r="B647" s="1">
        <v>1300</v>
      </c>
      <c r="C647" s="1" t="s">
        <v>0</v>
      </c>
      <c r="D647" s="1">
        <v>46.9589233398438</v>
      </c>
      <c r="E647" s="2">
        <v>46295.944560185184</v>
      </c>
      <c r="F647" s="1">
        <v>1300</v>
      </c>
      <c r="G647" s="1" t="s">
        <v>0</v>
      </c>
      <c r="H647" s="1">
        <v>10.6867980957031</v>
      </c>
    </row>
    <row r="648" spans="1:8" ht="14.25" customHeight="1" x14ac:dyDescent="0.2">
      <c r="A648" s="2">
        <v>46295.944594907407</v>
      </c>
      <c r="B648" s="1">
        <v>1200</v>
      </c>
      <c r="C648" s="1" t="s">
        <v>0</v>
      </c>
      <c r="D648" s="1">
        <v>46.964569091796903</v>
      </c>
      <c r="E648" s="2">
        <v>46295.944594907407</v>
      </c>
      <c r="F648" s="1">
        <v>1200</v>
      </c>
      <c r="G648" s="1" t="s">
        <v>0</v>
      </c>
      <c r="H648" s="1">
        <v>10.6477355957031</v>
      </c>
    </row>
    <row r="649" spans="1:8" ht="14.25" customHeight="1" x14ac:dyDescent="0.2">
      <c r="A649" s="2">
        <v>46295.94462962963</v>
      </c>
      <c r="B649" s="1">
        <v>1100</v>
      </c>
      <c r="C649" s="1" t="s">
        <v>0</v>
      </c>
      <c r="D649" s="1">
        <v>46.977996826171903</v>
      </c>
      <c r="E649" s="2">
        <v>46295.94462962963</v>
      </c>
      <c r="F649" s="1">
        <v>1100</v>
      </c>
      <c r="G649" s="1" t="s">
        <v>0</v>
      </c>
      <c r="H649" s="1">
        <v>10.6410217285156</v>
      </c>
    </row>
    <row r="650" spans="1:8" ht="14.25" customHeight="1" x14ac:dyDescent="0.2">
      <c r="A650" s="2">
        <v>46295.944664351853</v>
      </c>
      <c r="B650" s="1">
        <v>1000</v>
      </c>
      <c r="C650" s="1" t="s">
        <v>0</v>
      </c>
      <c r="D650" s="1">
        <v>46.9680786132813</v>
      </c>
      <c r="E650" s="2">
        <v>46295.944664351853</v>
      </c>
      <c r="F650" s="1">
        <v>1000</v>
      </c>
      <c r="G650" s="1" t="s">
        <v>0</v>
      </c>
      <c r="H650" s="1">
        <v>10.3050231933594</v>
      </c>
    </row>
    <row r="651" spans="1:8" ht="14.25" customHeight="1" x14ac:dyDescent="0.2">
      <c r="A651" s="2">
        <v>46295.944699074076</v>
      </c>
      <c r="B651" s="1">
        <v>900</v>
      </c>
      <c r="C651" s="1" t="s">
        <v>0</v>
      </c>
      <c r="D651" s="1">
        <v>46.996612548828097</v>
      </c>
      <c r="E651" s="2">
        <v>46295.944699074076</v>
      </c>
      <c r="F651" s="1">
        <v>900</v>
      </c>
      <c r="G651" s="1" t="s">
        <v>0</v>
      </c>
      <c r="H651" s="1">
        <v>10.1155090332031</v>
      </c>
    </row>
    <row r="652" spans="1:8" ht="14.25" customHeight="1" x14ac:dyDescent="0.2">
      <c r="A652" s="2">
        <v>46295.944733796299</v>
      </c>
      <c r="B652" s="1">
        <v>800</v>
      </c>
      <c r="C652" s="1" t="s">
        <v>0</v>
      </c>
      <c r="D652" s="1">
        <v>46.9757080078125</v>
      </c>
      <c r="E652" s="2">
        <v>46295.944733796299</v>
      </c>
      <c r="F652" s="1">
        <v>800</v>
      </c>
      <c r="G652" s="1" t="s">
        <v>0</v>
      </c>
      <c r="H652" s="1">
        <v>10.1148986816406</v>
      </c>
    </row>
    <row r="653" spans="1:8" ht="14.25" customHeight="1" x14ac:dyDescent="0.2">
      <c r="A653" s="2">
        <v>46295.944768518515</v>
      </c>
      <c r="B653" s="1">
        <v>700</v>
      </c>
      <c r="C653" s="1" t="s">
        <v>0</v>
      </c>
      <c r="D653" s="1">
        <v>46.989288330078097</v>
      </c>
      <c r="E653" s="2">
        <v>46295.944768518515</v>
      </c>
      <c r="F653" s="1">
        <v>700</v>
      </c>
      <c r="G653" s="1" t="s">
        <v>0</v>
      </c>
      <c r="H653" s="1">
        <v>10.1690673828125</v>
      </c>
    </row>
    <row r="654" spans="1:8" ht="14.25" customHeight="1" x14ac:dyDescent="0.2">
      <c r="A654" s="2">
        <v>46295.944803240738</v>
      </c>
      <c r="B654" s="1">
        <v>600</v>
      </c>
      <c r="C654" s="1" t="s">
        <v>0</v>
      </c>
      <c r="D654" s="1">
        <v>46.99462890625</v>
      </c>
      <c r="E654" s="2">
        <v>46295.944803240738</v>
      </c>
      <c r="F654" s="1">
        <v>600</v>
      </c>
      <c r="G654" s="1" t="s">
        <v>0</v>
      </c>
      <c r="H654" s="1">
        <v>9.8931884765625</v>
      </c>
    </row>
    <row r="655" spans="1:8" ht="14.25" customHeight="1" x14ac:dyDescent="0.2">
      <c r="A655" s="2">
        <v>46295.944837962961</v>
      </c>
      <c r="B655" s="1">
        <v>500</v>
      </c>
      <c r="C655" s="1" t="s">
        <v>0</v>
      </c>
      <c r="D655" s="1">
        <v>47.0053100585938</v>
      </c>
      <c r="E655" s="2">
        <v>46295.944837962961</v>
      </c>
      <c r="F655" s="1">
        <v>500</v>
      </c>
      <c r="G655" s="1" t="s">
        <v>0</v>
      </c>
      <c r="H655" s="1">
        <v>9.67926025390625</v>
      </c>
    </row>
    <row r="656" spans="1:8" ht="14.25" customHeight="1" x14ac:dyDescent="0.2">
      <c r="A656" s="2">
        <v>46295.944872685184</v>
      </c>
      <c r="B656" s="1">
        <v>400</v>
      </c>
      <c r="C656" s="1" t="s">
        <v>0</v>
      </c>
      <c r="D656" s="1">
        <v>46.9915771484375</v>
      </c>
      <c r="E656" s="2">
        <v>46295.944872685184</v>
      </c>
      <c r="F656" s="1">
        <v>400</v>
      </c>
      <c r="G656" s="1" t="s">
        <v>0</v>
      </c>
      <c r="H656" s="1">
        <v>10.0370788574219</v>
      </c>
    </row>
    <row r="657" spans="1:8" ht="14.25" customHeight="1" x14ac:dyDescent="0.2">
      <c r="A657" s="2">
        <v>46295.944907407407</v>
      </c>
      <c r="B657" s="1">
        <v>300</v>
      </c>
      <c r="C657" s="1" t="s">
        <v>0</v>
      </c>
      <c r="D657" s="1">
        <v>46.991424560546903</v>
      </c>
      <c r="E657" s="2">
        <v>46295.944907407407</v>
      </c>
      <c r="F657" s="1">
        <v>300</v>
      </c>
      <c r="G657" s="1" t="s">
        <v>0</v>
      </c>
      <c r="H657" s="1">
        <v>9.6159362792968803</v>
      </c>
    </row>
    <row r="658" spans="1:8" ht="14.25" customHeight="1" x14ac:dyDescent="0.2">
      <c r="A658" s="2">
        <v>46295.94494212963</v>
      </c>
      <c r="B658" s="1">
        <v>200</v>
      </c>
      <c r="C658" s="1" t="s">
        <v>0</v>
      </c>
      <c r="D658" s="1">
        <v>47.0144653320313</v>
      </c>
      <c r="E658" s="2">
        <v>46295.94494212963</v>
      </c>
      <c r="F658" s="1">
        <v>200</v>
      </c>
      <c r="G658" s="1" t="s">
        <v>0</v>
      </c>
      <c r="H658" s="1">
        <v>9.4316101074218803</v>
      </c>
    </row>
    <row r="659" spans="1:8" ht="14.25" customHeight="1" x14ac:dyDescent="0.2">
      <c r="A659" s="2">
        <v>46295.944976851853</v>
      </c>
      <c r="B659" s="1">
        <v>100</v>
      </c>
      <c r="C659" s="1" t="s">
        <v>0</v>
      </c>
      <c r="D659" s="1">
        <v>47.015380859375</v>
      </c>
      <c r="E659" s="2">
        <v>46295.944976851853</v>
      </c>
      <c r="F659" s="1">
        <v>100</v>
      </c>
      <c r="G659" s="1" t="s">
        <v>0</v>
      </c>
      <c r="H659" s="1">
        <v>9.30206298828125</v>
      </c>
    </row>
    <row r="660" spans="1:8" ht="14.25" customHeight="1" x14ac:dyDescent="0.2">
      <c r="A660" s="2">
        <v>46295.945011574076</v>
      </c>
      <c r="B660" s="1">
        <v>0</v>
      </c>
      <c r="C660" s="1" t="s">
        <v>0</v>
      </c>
      <c r="D660" s="1">
        <v>47.0126342773438</v>
      </c>
      <c r="E660" s="2">
        <v>46295.945011574076</v>
      </c>
      <c r="F660" s="1">
        <v>0</v>
      </c>
      <c r="G660" s="1" t="s">
        <v>0</v>
      </c>
      <c r="H660" s="1">
        <v>9.3385314941406303</v>
      </c>
    </row>
    <row r="661" spans="1:8" ht="14.25" customHeight="1" x14ac:dyDescent="0.2">
      <c r="A661" s="2">
        <v>46295.9450462963</v>
      </c>
      <c r="B661" s="1">
        <v>-100</v>
      </c>
      <c r="C661" s="1" t="s">
        <v>0</v>
      </c>
      <c r="D661" s="1">
        <v>47.008056640625</v>
      </c>
      <c r="E661" s="2">
        <v>46295.9450462963</v>
      </c>
      <c r="F661" s="1">
        <v>-100</v>
      </c>
      <c r="G661" s="1" t="s">
        <v>0</v>
      </c>
      <c r="H661" s="1">
        <v>9.25018310546875</v>
      </c>
    </row>
    <row r="662" spans="1:8" ht="14.25" customHeight="1" x14ac:dyDescent="0.2">
      <c r="A662" s="2">
        <v>46295.945081018515</v>
      </c>
      <c r="B662" s="1">
        <v>-200</v>
      </c>
      <c r="C662" s="1" t="s">
        <v>0</v>
      </c>
      <c r="D662" s="1">
        <v>46.9906616210938</v>
      </c>
      <c r="E662" s="2">
        <v>46295.945081018515</v>
      </c>
      <c r="F662" s="1">
        <v>-200</v>
      </c>
      <c r="G662" s="1" t="s">
        <v>0</v>
      </c>
      <c r="H662" s="1">
        <v>9.1596984863281303</v>
      </c>
    </row>
    <row r="663" spans="1:8" ht="14.25" customHeight="1" x14ac:dyDescent="0.2">
      <c r="A663" s="2">
        <v>46295.945115740738</v>
      </c>
      <c r="B663" s="1">
        <v>-300</v>
      </c>
      <c r="C663" s="1" t="s">
        <v>0</v>
      </c>
      <c r="D663" s="1">
        <v>47.023773193359403</v>
      </c>
      <c r="E663" s="2">
        <v>46295.945115740738</v>
      </c>
      <c r="F663" s="1">
        <v>-300</v>
      </c>
      <c r="G663" s="1" t="s">
        <v>0</v>
      </c>
      <c r="H663" s="1">
        <v>9.1094970703125</v>
      </c>
    </row>
    <row r="664" spans="1:8" ht="14.25" customHeight="1" x14ac:dyDescent="0.2">
      <c r="A664" s="2">
        <v>46295.945150462961</v>
      </c>
      <c r="B664" s="1">
        <v>-400</v>
      </c>
      <c r="C664" s="1" t="s">
        <v>0</v>
      </c>
      <c r="D664" s="1">
        <v>47.018890380859403</v>
      </c>
      <c r="E664" s="2">
        <v>46295.945150462961</v>
      </c>
      <c r="F664" s="1">
        <v>-400</v>
      </c>
      <c r="G664" s="1" t="s">
        <v>0</v>
      </c>
      <c r="H664" s="1">
        <v>9.20379638671875</v>
      </c>
    </row>
    <row r="665" spans="1:8" ht="14.25" customHeight="1" x14ac:dyDescent="0.2">
      <c r="A665" s="2">
        <v>46295.945185185185</v>
      </c>
      <c r="B665" s="1">
        <v>-500</v>
      </c>
      <c r="C665" s="1" t="s">
        <v>0</v>
      </c>
      <c r="D665" s="1">
        <v>47.018890380859403</v>
      </c>
      <c r="E665" s="2">
        <v>46295.945185185185</v>
      </c>
      <c r="F665" s="1">
        <v>-500</v>
      </c>
      <c r="G665" s="1" t="s">
        <v>0</v>
      </c>
      <c r="H665" s="1">
        <v>9.0824890136718803</v>
      </c>
    </row>
    <row r="666" spans="1:8" ht="14.25" customHeight="1" x14ac:dyDescent="0.2">
      <c r="A666" s="2">
        <v>46295.945219907408</v>
      </c>
      <c r="B666" s="1">
        <v>-600</v>
      </c>
      <c r="C666" s="1" t="s">
        <v>0</v>
      </c>
      <c r="D666" s="1">
        <v>47.0111083984375</v>
      </c>
      <c r="E666" s="2">
        <v>46295.945219907408</v>
      </c>
      <c r="F666" s="1">
        <v>-600</v>
      </c>
      <c r="G666" s="1" t="s">
        <v>0</v>
      </c>
      <c r="H666" s="1">
        <v>9.00726318359375</v>
      </c>
    </row>
    <row r="667" spans="1:8" ht="14.25" customHeight="1" x14ac:dyDescent="0.2">
      <c r="A667" s="2">
        <v>46295.945254629631</v>
      </c>
      <c r="B667" s="1">
        <v>-700</v>
      </c>
      <c r="C667" s="1" t="s">
        <v>0</v>
      </c>
      <c r="D667" s="1">
        <v>47.015380859375</v>
      </c>
      <c r="E667" s="2">
        <v>46295.945254629631</v>
      </c>
      <c r="F667" s="1">
        <v>-700</v>
      </c>
      <c r="G667" s="1" t="s">
        <v>0</v>
      </c>
      <c r="H667" s="1">
        <v>9.0325927734375</v>
      </c>
    </row>
    <row r="668" spans="1:8" ht="14.25" customHeight="1" x14ac:dyDescent="0.2">
      <c r="A668" s="2">
        <v>46295.945289351854</v>
      </c>
      <c r="B668" s="1">
        <v>-800</v>
      </c>
      <c r="C668" s="1" t="s">
        <v>0</v>
      </c>
      <c r="D668" s="1">
        <v>47.027435302734403</v>
      </c>
      <c r="E668" s="2">
        <v>46295.945289351854</v>
      </c>
      <c r="F668" s="1">
        <v>-800</v>
      </c>
      <c r="G668" s="1" t="s">
        <v>0</v>
      </c>
      <c r="H668" s="1">
        <v>9.0715026855468803</v>
      </c>
    </row>
    <row r="669" spans="1:8" ht="14.25" customHeight="1" x14ac:dyDescent="0.2">
      <c r="A669" s="2">
        <v>46295.945324074077</v>
      </c>
      <c r="B669" s="1">
        <v>-900</v>
      </c>
      <c r="C669" s="1" t="s">
        <v>0</v>
      </c>
      <c r="D669" s="1">
        <v>47.039642333984403</v>
      </c>
      <c r="E669" s="2">
        <v>46295.945324074077</v>
      </c>
      <c r="F669" s="1">
        <v>-900</v>
      </c>
      <c r="G669" s="1" t="s">
        <v>0</v>
      </c>
      <c r="H669" s="1">
        <v>8.99505615234375</v>
      </c>
    </row>
    <row r="670" spans="1:8" ht="14.25" customHeight="1" x14ac:dyDescent="0.2">
      <c r="A670" s="2">
        <v>46295.9453587963</v>
      </c>
      <c r="B670" s="1">
        <v>-1000</v>
      </c>
      <c r="C670" s="1" t="s">
        <v>0</v>
      </c>
      <c r="D670" s="1">
        <v>47.051239013671903</v>
      </c>
      <c r="E670" s="2">
        <v>46295.9453587963</v>
      </c>
      <c r="F670" s="1">
        <v>-1000</v>
      </c>
      <c r="G670" s="1" t="s">
        <v>0</v>
      </c>
      <c r="H670" s="1">
        <v>8.9698791503906303</v>
      </c>
    </row>
    <row r="671" spans="1:8" ht="14.25" customHeight="1" x14ac:dyDescent="0.2">
      <c r="A671" s="2">
        <v>46295.945393518516</v>
      </c>
      <c r="B671" s="1">
        <v>-1100</v>
      </c>
      <c r="C671" s="1" t="s">
        <v>0</v>
      </c>
      <c r="D671" s="1">
        <v>47.0394897460938</v>
      </c>
      <c r="E671" s="2">
        <v>46295.945393518516</v>
      </c>
      <c r="F671" s="1">
        <v>-1100</v>
      </c>
      <c r="G671" s="1" t="s">
        <v>0</v>
      </c>
      <c r="H671" s="1">
        <v>9.0464782714843803</v>
      </c>
    </row>
    <row r="672" spans="1:8" ht="14.25" customHeight="1" x14ac:dyDescent="0.2">
      <c r="A672" s="2">
        <v>46295.945428240739</v>
      </c>
      <c r="B672" s="1">
        <v>-1200</v>
      </c>
      <c r="C672" s="1" t="s">
        <v>0</v>
      </c>
      <c r="D672" s="1">
        <v>47.0257568359375</v>
      </c>
      <c r="E672" s="2">
        <v>46295.945428240739</v>
      </c>
      <c r="F672" s="1">
        <v>-1200</v>
      </c>
      <c r="G672" s="1" t="s">
        <v>0</v>
      </c>
      <c r="H672" s="1">
        <v>9.0577697753906303</v>
      </c>
    </row>
    <row r="673" spans="1:8" ht="14.25" customHeight="1" x14ac:dyDescent="0.2">
      <c r="A673" s="2">
        <v>46295.945474537039</v>
      </c>
      <c r="B673" s="1">
        <v>-1300</v>
      </c>
      <c r="C673" s="1" t="s">
        <v>0</v>
      </c>
      <c r="D673" s="1">
        <v>47.0364379882813</v>
      </c>
      <c r="E673" s="2">
        <v>46295.945474537039</v>
      </c>
      <c r="F673" s="1">
        <v>-1300</v>
      </c>
      <c r="G673" s="1" t="s">
        <v>0</v>
      </c>
      <c r="H673" s="1">
        <v>8.968505859375</v>
      </c>
    </row>
    <row r="674" spans="1:8" ht="14.25" customHeight="1" x14ac:dyDescent="0.2">
      <c r="A674" s="2">
        <v>46295.945509259262</v>
      </c>
      <c r="B674" s="1">
        <v>-1400</v>
      </c>
      <c r="C674" s="1" t="s">
        <v>0</v>
      </c>
      <c r="D674" s="1">
        <v>47.062225341796903</v>
      </c>
      <c r="E674" s="2">
        <v>46295.945509259262</v>
      </c>
      <c r="F674" s="1">
        <v>-1400</v>
      </c>
      <c r="G674" s="1" t="s">
        <v>0</v>
      </c>
      <c r="H674" s="1">
        <v>8.9503479003906303</v>
      </c>
    </row>
    <row r="675" spans="1:8" ht="14.25" customHeight="1" x14ac:dyDescent="0.2">
      <c r="A675" s="2">
        <v>46295.945543981485</v>
      </c>
      <c r="B675" s="1">
        <v>-1500</v>
      </c>
      <c r="C675" s="1" t="s">
        <v>0</v>
      </c>
      <c r="D675" s="1">
        <v>47.051849365234403</v>
      </c>
      <c r="E675" s="2">
        <v>46295.945543981485</v>
      </c>
      <c r="F675" s="1">
        <v>-1500</v>
      </c>
      <c r="G675" s="1" t="s">
        <v>0</v>
      </c>
      <c r="H675" s="1">
        <v>9.0455627441406303</v>
      </c>
    </row>
    <row r="676" spans="1:8" ht="14.25" customHeight="1" x14ac:dyDescent="0.2">
      <c r="A676" s="2">
        <v>46295.9455787037</v>
      </c>
      <c r="B676" s="1">
        <v>-1600</v>
      </c>
      <c r="C676" s="1" t="s">
        <v>0</v>
      </c>
      <c r="D676" s="1">
        <v>47.062835693359403</v>
      </c>
      <c r="E676" s="2">
        <v>46295.9455787037</v>
      </c>
      <c r="F676" s="1">
        <v>-1600</v>
      </c>
      <c r="G676" s="1" t="s">
        <v>0</v>
      </c>
      <c r="H676" s="1">
        <v>9.0142822265625</v>
      </c>
    </row>
    <row r="677" spans="1:8" ht="14.25" customHeight="1" x14ac:dyDescent="0.2">
      <c r="A677" s="2">
        <v>46295.945613425924</v>
      </c>
      <c r="B677" s="1">
        <v>-1700</v>
      </c>
      <c r="C677" s="1" t="s">
        <v>0</v>
      </c>
      <c r="D677" s="1">
        <v>47.055816650390597</v>
      </c>
      <c r="E677" s="2">
        <v>46295.945613425924</v>
      </c>
      <c r="F677" s="1">
        <v>-1700</v>
      </c>
      <c r="G677" s="1" t="s">
        <v>0</v>
      </c>
      <c r="H677" s="1">
        <v>8.9665222167968803</v>
      </c>
    </row>
    <row r="678" spans="1:8" ht="14.25" customHeight="1" x14ac:dyDescent="0.2">
      <c r="A678" s="2">
        <v>46295.945648148147</v>
      </c>
      <c r="B678" s="1">
        <v>-1800</v>
      </c>
      <c r="C678" s="1" t="s">
        <v>0</v>
      </c>
      <c r="D678" s="1">
        <v>47.064666748046903</v>
      </c>
      <c r="E678" s="2">
        <v>46295.945648148147</v>
      </c>
      <c r="F678" s="1">
        <v>-1800</v>
      </c>
      <c r="G678" s="1" t="s">
        <v>0</v>
      </c>
      <c r="H678" s="1">
        <v>8.9683532714843803</v>
      </c>
    </row>
    <row r="679" spans="1:8" ht="14.25" customHeight="1" x14ac:dyDescent="0.2">
      <c r="A679" s="2">
        <v>46295.94568287037</v>
      </c>
      <c r="B679" s="1">
        <v>-1900</v>
      </c>
      <c r="C679" s="1" t="s">
        <v>0</v>
      </c>
      <c r="D679" s="1">
        <v>47.05322265625</v>
      </c>
      <c r="E679" s="2">
        <v>46295.94568287037</v>
      </c>
      <c r="F679" s="1">
        <v>-1900</v>
      </c>
      <c r="G679" s="1" t="s">
        <v>0</v>
      </c>
      <c r="H679" s="1">
        <v>9.09912109375</v>
      </c>
    </row>
    <row r="680" spans="1:8" ht="14.25" customHeight="1" x14ac:dyDescent="0.2">
      <c r="A680" s="2">
        <v>46295.945717592593</v>
      </c>
      <c r="B680" s="1">
        <v>-2000</v>
      </c>
      <c r="C680" s="1" t="s">
        <v>0</v>
      </c>
      <c r="D680" s="1">
        <v>47.0651245117188</v>
      </c>
      <c r="E680" s="2">
        <v>46295.945717592593</v>
      </c>
      <c r="F680" s="1">
        <v>-2000</v>
      </c>
      <c r="G680" s="1" t="s">
        <v>0</v>
      </c>
      <c r="H680" s="1">
        <v>9.01947021484375</v>
      </c>
    </row>
    <row r="681" spans="1:8" ht="14.2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4.25" customHeight="1" x14ac:dyDescent="0.2">
      <c r="A682" s="2">
        <v>46295.949143518519</v>
      </c>
      <c r="B682" s="1">
        <v>5000</v>
      </c>
      <c r="C682" s="1" t="s">
        <v>0</v>
      </c>
      <c r="D682" s="1">
        <v>47.281951904296903</v>
      </c>
      <c r="E682" s="2">
        <v>46295.949143518519</v>
      </c>
      <c r="F682" s="1">
        <v>5000</v>
      </c>
      <c r="G682" s="1" t="s">
        <v>0</v>
      </c>
      <c r="H682" s="1">
        <v>16.8212890625</v>
      </c>
    </row>
    <row r="683" spans="1:8" ht="14.25" customHeight="1" x14ac:dyDescent="0.2">
      <c r="A683" s="2">
        <v>46295.949178240742</v>
      </c>
      <c r="B683" s="1">
        <v>4900</v>
      </c>
      <c r="C683" s="1" t="s">
        <v>0</v>
      </c>
      <c r="D683" s="1">
        <v>47.289581298828097</v>
      </c>
      <c r="E683" s="2">
        <v>46295.949178240742</v>
      </c>
      <c r="F683" s="1">
        <v>4900</v>
      </c>
      <c r="G683" s="1" t="s">
        <v>0</v>
      </c>
      <c r="H683" s="1">
        <v>16.8272399902344</v>
      </c>
    </row>
    <row r="684" spans="1:8" ht="14.25" customHeight="1" x14ac:dyDescent="0.2">
      <c r="A684" s="2">
        <v>46295.949212962965</v>
      </c>
      <c r="B684" s="1">
        <v>4800</v>
      </c>
      <c r="C684" s="1" t="s">
        <v>0</v>
      </c>
      <c r="D684" s="1">
        <v>47.2698974609375</v>
      </c>
      <c r="E684" s="2">
        <v>46295.949212962965</v>
      </c>
      <c r="F684" s="1">
        <v>4800</v>
      </c>
      <c r="G684" s="1" t="s">
        <v>0</v>
      </c>
      <c r="H684" s="1">
        <v>16.7527770996094</v>
      </c>
    </row>
    <row r="685" spans="1:8" ht="14.25" customHeight="1" x14ac:dyDescent="0.2">
      <c r="A685" s="2">
        <v>46295.949247685188</v>
      </c>
      <c r="B685" s="1">
        <v>4700</v>
      </c>
      <c r="C685" s="1" t="s">
        <v>0</v>
      </c>
      <c r="D685" s="1">
        <v>47.294921875</v>
      </c>
      <c r="E685" s="2">
        <v>46295.949247685188</v>
      </c>
      <c r="F685" s="1">
        <v>4700</v>
      </c>
      <c r="G685" s="1" t="s">
        <v>0</v>
      </c>
      <c r="H685" s="1">
        <v>16.6828918457031</v>
      </c>
    </row>
    <row r="686" spans="1:8" ht="14.25" customHeight="1" x14ac:dyDescent="0.2">
      <c r="A686" s="2">
        <v>46295.949282407404</v>
      </c>
      <c r="B686" s="1">
        <v>4600</v>
      </c>
      <c r="C686" s="1" t="s">
        <v>0</v>
      </c>
      <c r="D686" s="1">
        <v>47.2970581054688</v>
      </c>
      <c r="E686" s="2">
        <v>46295.949282407404</v>
      </c>
      <c r="F686" s="1">
        <v>4600</v>
      </c>
      <c r="G686" s="1" t="s">
        <v>0</v>
      </c>
      <c r="H686" s="1">
        <v>16.5447998046875</v>
      </c>
    </row>
    <row r="687" spans="1:8" ht="14.25" customHeight="1" x14ac:dyDescent="0.2">
      <c r="A687" s="2">
        <v>46295.949317129627</v>
      </c>
      <c r="B687" s="1">
        <v>4500</v>
      </c>
      <c r="C687" s="1" t="s">
        <v>0</v>
      </c>
      <c r="D687" s="1">
        <v>47.2909545898438</v>
      </c>
      <c r="E687" s="2">
        <v>46295.949317129627</v>
      </c>
      <c r="F687" s="1">
        <v>4500</v>
      </c>
      <c r="G687" s="1" t="s">
        <v>0</v>
      </c>
      <c r="H687" s="1">
        <v>16.3656616210938</v>
      </c>
    </row>
    <row r="688" spans="1:8" ht="14.25" customHeight="1" x14ac:dyDescent="0.2">
      <c r="A688" s="2">
        <v>46295.94935185185</v>
      </c>
      <c r="B688" s="1">
        <v>4400</v>
      </c>
      <c r="C688" s="1" t="s">
        <v>0</v>
      </c>
      <c r="D688" s="1">
        <v>47.273712158203097</v>
      </c>
      <c r="E688" s="2">
        <v>46295.94935185185</v>
      </c>
      <c r="F688" s="1">
        <v>4400</v>
      </c>
      <c r="G688" s="1" t="s">
        <v>0</v>
      </c>
      <c r="H688" s="1">
        <v>16.2637329101563</v>
      </c>
    </row>
    <row r="689" spans="1:8" ht="14.25" customHeight="1" x14ac:dyDescent="0.2">
      <c r="A689" s="2">
        <v>46295.949386574073</v>
      </c>
      <c r="B689" s="1">
        <v>4300</v>
      </c>
      <c r="C689" s="1" t="s">
        <v>0</v>
      </c>
      <c r="D689" s="1">
        <v>47.2842407226563</v>
      </c>
      <c r="E689" s="2">
        <v>46295.949386574073</v>
      </c>
      <c r="F689" s="1">
        <v>4300</v>
      </c>
      <c r="G689" s="1" t="s">
        <v>0</v>
      </c>
      <c r="H689" s="1">
        <v>16.1248779296875</v>
      </c>
    </row>
    <row r="690" spans="1:8" ht="14.25" customHeight="1" x14ac:dyDescent="0.2">
      <c r="A690" s="2">
        <v>46295.949421296296</v>
      </c>
      <c r="B690" s="1">
        <v>4200</v>
      </c>
      <c r="C690" s="1" t="s">
        <v>0</v>
      </c>
      <c r="D690" s="1">
        <v>47.275238037109403</v>
      </c>
      <c r="E690" s="2">
        <v>46295.949421296296</v>
      </c>
      <c r="F690" s="1">
        <v>4200</v>
      </c>
      <c r="G690" s="1" t="s">
        <v>0</v>
      </c>
      <c r="H690" s="1">
        <v>16.0595703125</v>
      </c>
    </row>
    <row r="691" spans="1:8" ht="14.25" customHeight="1" x14ac:dyDescent="0.2">
      <c r="A691" s="2">
        <v>46295.949456018519</v>
      </c>
      <c r="B691" s="1">
        <v>4100</v>
      </c>
      <c r="C691" s="1" t="s">
        <v>0</v>
      </c>
      <c r="D691" s="1">
        <v>47.294158935546903</v>
      </c>
      <c r="E691" s="2">
        <v>46295.949456018519</v>
      </c>
      <c r="F691" s="1">
        <v>4100</v>
      </c>
      <c r="G691" s="1" t="s">
        <v>0</v>
      </c>
      <c r="H691" s="1">
        <v>15.960693359375</v>
      </c>
    </row>
    <row r="692" spans="1:8" ht="14.25" customHeight="1" x14ac:dyDescent="0.2">
      <c r="A692" s="2">
        <v>46295.949490740742</v>
      </c>
      <c r="B692" s="1">
        <v>4000</v>
      </c>
      <c r="C692" s="1" t="s">
        <v>0</v>
      </c>
      <c r="D692" s="1">
        <v>47.2927856445313</v>
      </c>
      <c r="E692" s="2">
        <v>46295.949490740742</v>
      </c>
      <c r="F692" s="1">
        <v>4000</v>
      </c>
      <c r="G692" s="1" t="s">
        <v>0</v>
      </c>
      <c r="H692" s="1">
        <v>15.8169555664063</v>
      </c>
    </row>
    <row r="693" spans="1:8" ht="14.25" customHeight="1" x14ac:dyDescent="0.2">
      <c r="A693" s="2">
        <v>46295.949525462966</v>
      </c>
      <c r="B693" s="1">
        <v>3900</v>
      </c>
      <c r="C693" s="1" t="s">
        <v>0</v>
      </c>
      <c r="D693" s="1">
        <v>47.2882080078125</v>
      </c>
      <c r="E693" s="2">
        <v>46295.949525462966</v>
      </c>
      <c r="F693" s="1">
        <v>3900</v>
      </c>
      <c r="G693" s="1" t="s">
        <v>0</v>
      </c>
      <c r="H693" s="1">
        <v>15.6257629394531</v>
      </c>
    </row>
    <row r="694" spans="1:8" ht="14.25" customHeight="1" x14ac:dyDescent="0.2">
      <c r="A694" s="2">
        <v>46295.949560185189</v>
      </c>
      <c r="B694" s="1">
        <v>3800</v>
      </c>
      <c r="C694" s="1" t="s">
        <v>0</v>
      </c>
      <c r="D694" s="1">
        <v>47.3001098632813</v>
      </c>
      <c r="E694" s="2">
        <v>46295.949560185189</v>
      </c>
      <c r="F694" s="1">
        <v>3800</v>
      </c>
      <c r="G694" s="1" t="s">
        <v>0</v>
      </c>
      <c r="H694" s="1">
        <v>15.4214477539063</v>
      </c>
    </row>
    <row r="695" spans="1:8" ht="14.25" customHeight="1" x14ac:dyDescent="0.2">
      <c r="A695" s="2">
        <v>46295.949594907404</v>
      </c>
      <c r="B695" s="1">
        <v>3700</v>
      </c>
      <c r="C695" s="1" t="s">
        <v>0</v>
      </c>
      <c r="D695" s="1">
        <v>47.2982788085938</v>
      </c>
      <c r="E695" s="2">
        <v>46295.949594907404</v>
      </c>
      <c r="F695" s="1">
        <v>3700</v>
      </c>
      <c r="G695" s="1" t="s">
        <v>0</v>
      </c>
      <c r="H695" s="1">
        <v>15.1681518554688</v>
      </c>
    </row>
    <row r="696" spans="1:8" ht="14.25" customHeight="1" x14ac:dyDescent="0.2">
      <c r="A696" s="2">
        <v>46295.949629629627</v>
      </c>
      <c r="B696" s="1">
        <v>3600</v>
      </c>
      <c r="C696" s="1" t="s">
        <v>0</v>
      </c>
      <c r="D696" s="1">
        <v>47.2854614257813</v>
      </c>
      <c r="E696" s="2">
        <v>46295.949629629627</v>
      </c>
      <c r="F696" s="1">
        <v>3600</v>
      </c>
      <c r="G696" s="1" t="s">
        <v>0</v>
      </c>
      <c r="H696" s="1">
        <v>15.2195739746094</v>
      </c>
    </row>
    <row r="697" spans="1:8" ht="14.25" customHeight="1" x14ac:dyDescent="0.2">
      <c r="A697" s="2">
        <v>46295.949664351851</v>
      </c>
      <c r="B697" s="1">
        <v>3500</v>
      </c>
      <c r="C697" s="1" t="s">
        <v>0</v>
      </c>
      <c r="D697" s="1">
        <v>47.3080444335938</v>
      </c>
      <c r="E697" s="2">
        <v>46295.949664351851</v>
      </c>
      <c r="F697" s="1">
        <v>3500</v>
      </c>
      <c r="G697" s="1" t="s">
        <v>0</v>
      </c>
      <c r="H697" s="1">
        <v>15.1010131835938</v>
      </c>
    </row>
    <row r="698" spans="1:8" ht="14.25" customHeight="1" x14ac:dyDescent="0.2">
      <c r="A698" s="2">
        <v>46295.949699074074</v>
      </c>
      <c r="B698" s="1">
        <v>3400</v>
      </c>
      <c r="C698" s="1" t="s">
        <v>0</v>
      </c>
      <c r="D698" s="1">
        <v>47.3056030273438</v>
      </c>
      <c r="E698" s="2">
        <v>46295.949699074074</v>
      </c>
      <c r="F698" s="1">
        <v>3400</v>
      </c>
      <c r="G698" s="1" t="s">
        <v>0</v>
      </c>
      <c r="H698" s="1">
        <v>15.0337219238281</v>
      </c>
    </row>
    <row r="699" spans="1:8" ht="14.25" customHeight="1" x14ac:dyDescent="0.2">
      <c r="A699" s="2">
        <v>46295.949733796297</v>
      </c>
      <c r="B699" s="1">
        <v>3300</v>
      </c>
      <c r="C699" s="1" t="s">
        <v>0</v>
      </c>
      <c r="D699" s="1">
        <v>47.3065185546875</v>
      </c>
      <c r="E699" s="2">
        <v>46295.949733796297</v>
      </c>
      <c r="F699" s="1">
        <v>3300</v>
      </c>
      <c r="G699" s="1" t="s">
        <v>0</v>
      </c>
      <c r="H699" s="1">
        <v>14.9861145019531</v>
      </c>
    </row>
    <row r="700" spans="1:8" ht="14.25" customHeight="1" x14ac:dyDescent="0.2">
      <c r="A700" s="2">
        <v>46295.94976851852</v>
      </c>
      <c r="B700" s="1">
        <v>3200</v>
      </c>
      <c r="C700" s="1" t="s">
        <v>0</v>
      </c>
      <c r="D700" s="1">
        <v>47.3348999023438</v>
      </c>
      <c r="E700" s="2">
        <v>46295.94976851852</v>
      </c>
      <c r="F700" s="1">
        <v>3200</v>
      </c>
      <c r="G700" s="1" t="s">
        <v>0</v>
      </c>
      <c r="H700" s="1">
        <v>14.9095153808594</v>
      </c>
    </row>
    <row r="701" spans="1:8" ht="14.25" customHeight="1" x14ac:dyDescent="0.2">
      <c r="A701" s="2">
        <v>46295.949803240743</v>
      </c>
      <c r="B701" s="1">
        <v>3100</v>
      </c>
      <c r="C701" s="1" t="s">
        <v>0</v>
      </c>
      <c r="D701" s="1">
        <v>47.306365966796903</v>
      </c>
      <c r="E701" s="2">
        <v>46295.949803240743</v>
      </c>
      <c r="F701" s="1">
        <v>3100</v>
      </c>
      <c r="G701" s="1" t="s">
        <v>0</v>
      </c>
      <c r="H701" s="1">
        <v>14.7024536132813</v>
      </c>
    </row>
    <row r="702" spans="1:8" ht="14.25" customHeight="1" x14ac:dyDescent="0.2">
      <c r="A702" s="2">
        <v>46295.949837962966</v>
      </c>
      <c r="B702" s="1">
        <v>3000</v>
      </c>
      <c r="C702" s="1" t="s">
        <v>0</v>
      </c>
      <c r="D702" s="1">
        <v>47.3037719726563</v>
      </c>
      <c r="E702" s="2">
        <v>46295.949837962966</v>
      </c>
      <c r="F702" s="1">
        <v>3000</v>
      </c>
      <c r="G702" s="1" t="s">
        <v>0</v>
      </c>
      <c r="H702" s="1">
        <v>14.5137023925781</v>
      </c>
    </row>
    <row r="703" spans="1:8" ht="14.25" customHeight="1" x14ac:dyDescent="0.2">
      <c r="A703" s="2">
        <v>46295.949872685182</v>
      </c>
      <c r="B703" s="1">
        <v>2900</v>
      </c>
      <c r="C703" s="1" t="s">
        <v>0</v>
      </c>
      <c r="D703" s="1">
        <v>47.292327880859403</v>
      </c>
      <c r="E703" s="2">
        <v>46295.949872685182</v>
      </c>
      <c r="F703" s="1">
        <v>2900</v>
      </c>
      <c r="G703" s="1" t="s">
        <v>0</v>
      </c>
      <c r="H703" s="1">
        <v>14.3885803222656</v>
      </c>
    </row>
    <row r="704" spans="1:8" ht="14.25" customHeight="1" x14ac:dyDescent="0.2">
      <c r="A704" s="2">
        <v>46295.949907407405</v>
      </c>
      <c r="B704" s="1">
        <v>2800</v>
      </c>
      <c r="C704" s="1" t="s">
        <v>0</v>
      </c>
      <c r="D704" s="1">
        <v>47.305908203125</v>
      </c>
      <c r="E704" s="2">
        <v>46295.949907407405</v>
      </c>
      <c r="F704" s="1">
        <v>2800</v>
      </c>
      <c r="G704" s="1" t="s">
        <v>0</v>
      </c>
      <c r="H704" s="1">
        <v>14.3618774414063</v>
      </c>
    </row>
    <row r="705" spans="1:8" ht="14.25" customHeight="1" x14ac:dyDescent="0.2">
      <c r="A705" s="2">
        <v>46295.949942129628</v>
      </c>
      <c r="B705" s="1">
        <v>2700</v>
      </c>
      <c r="C705" s="1" t="s">
        <v>0</v>
      </c>
      <c r="D705" s="1">
        <v>47.3187255859375</v>
      </c>
      <c r="E705" s="2">
        <v>46295.949942129628</v>
      </c>
      <c r="F705" s="1">
        <v>2700</v>
      </c>
      <c r="G705" s="1" t="s">
        <v>0</v>
      </c>
      <c r="H705" s="1">
        <v>14.248046875</v>
      </c>
    </row>
    <row r="706" spans="1:8" ht="14.25" customHeight="1" x14ac:dyDescent="0.2">
      <c r="A706" s="2">
        <v>46295.949976851851</v>
      </c>
      <c r="B706" s="1">
        <v>2600</v>
      </c>
      <c r="C706" s="1" t="s">
        <v>0</v>
      </c>
      <c r="D706" s="1">
        <v>47.331390380859403</v>
      </c>
      <c r="E706" s="2">
        <v>46295.949976851851</v>
      </c>
      <c r="F706" s="1">
        <v>2600</v>
      </c>
      <c r="G706" s="1" t="s">
        <v>0</v>
      </c>
      <c r="H706" s="1">
        <v>14.2491149902344</v>
      </c>
    </row>
    <row r="707" spans="1:8" ht="14.25" customHeight="1" x14ac:dyDescent="0.2">
      <c r="A707" s="2">
        <v>46295.950011574074</v>
      </c>
      <c r="B707" s="1">
        <v>2500</v>
      </c>
      <c r="C707" s="1" t="s">
        <v>0</v>
      </c>
      <c r="D707" s="1">
        <v>47.32421875</v>
      </c>
      <c r="E707" s="2">
        <v>46295.950011574074</v>
      </c>
      <c r="F707" s="1">
        <v>2500</v>
      </c>
      <c r="G707" s="1" t="s">
        <v>0</v>
      </c>
      <c r="H707" s="1">
        <v>13.929443359375</v>
      </c>
    </row>
    <row r="708" spans="1:8" ht="14.25" customHeight="1" x14ac:dyDescent="0.2">
      <c r="A708" s="2">
        <v>46295.950046296297</v>
      </c>
      <c r="B708" s="1">
        <v>2400</v>
      </c>
      <c r="C708" s="1" t="s">
        <v>0</v>
      </c>
      <c r="D708" s="1">
        <v>47.322845458984403</v>
      </c>
      <c r="E708" s="2">
        <v>46295.950046296297</v>
      </c>
      <c r="F708" s="1">
        <v>2400</v>
      </c>
      <c r="G708" s="1" t="s">
        <v>0</v>
      </c>
      <c r="H708" s="1">
        <v>13.9332580566406</v>
      </c>
    </row>
    <row r="709" spans="1:8" ht="14.25" customHeight="1" x14ac:dyDescent="0.2">
      <c r="A709" s="2">
        <v>46295.95008101852</v>
      </c>
      <c r="B709" s="1">
        <v>2300</v>
      </c>
      <c r="C709" s="1" t="s">
        <v>0</v>
      </c>
      <c r="D709" s="1">
        <v>47.3233032226563</v>
      </c>
      <c r="E709" s="2">
        <v>46295.95008101852</v>
      </c>
      <c r="F709" s="1">
        <v>2300</v>
      </c>
      <c r="G709" s="1" t="s">
        <v>0</v>
      </c>
      <c r="H709" s="1">
        <v>13.763427734375</v>
      </c>
    </row>
    <row r="710" spans="1:8" ht="14.25" customHeight="1" x14ac:dyDescent="0.2">
      <c r="A710" s="2">
        <v>46295.950115740743</v>
      </c>
      <c r="B710" s="1">
        <v>2200</v>
      </c>
      <c r="C710" s="1" t="s">
        <v>0</v>
      </c>
      <c r="D710" s="1">
        <v>47.324371337890597</v>
      </c>
      <c r="E710" s="2">
        <v>46295.950115740743</v>
      </c>
      <c r="F710" s="1">
        <v>2200</v>
      </c>
      <c r="G710" s="1" t="s">
        <v>0</v>
      </c>
      <c r="H710" s="1">
        <v>13.4814453125</v>
      </c>
    </row>
    <row r="711" spans="1:8" ht="14.25" customHeight="1" x14ac:dyDescent="0.2">
      <c r="A711" s="2">
        <v>46295.950162037036</v>
      </c>
      <c r="B711" s="1">
        <v>2100</v>
      </c>
      <c r="C711" s="1" t="s">
        <v>0</v>
      </c>
      <c r="D711" s="1">
        <v>47.322845458984403</v>
      </c>
      <c r="E711" s="2">
        <v>46295.950162037036</v>
      </c>
      <c r="F711" s="1">
        <v>2100</v>
      </c>
      <c r="G711" s="1" t="s">
        <v>0</v>
      </c>
      <c r="H711" s="1">
        <v>13.1727600097656</v>
      </c>
    </row>
    <row r="712" spans="1:8" ht="14.25" customHeight="1" x14ac:dyDescent="0.2">
      <c r="A712" s="2">
        <v>46295.950196759259</v>
      </c>
      <c r="B712" s="1">
        <v>2000</v>
      </c>
      <c r="C712" s="1" t="s">
        <v>0</v>
      </c>
      <c r="D712" s="1">
        <v>47.33154296875</v>
      </c>
      <c r="E712" s="2">
        <v>46295.950196759259</v>
      </c>
      <c r="F712" s="1">
        <v>2000</v>
      </c>
      <c r="G712" s="1" t="s">
        <v>0</v>
      </c>
      <c r="H712" s="1">
        <v>13.1448364257813</v>
      </c>
    </row>
    <row r="713" spans="1:8" ht="14.25" customHeight="1" x14ac:dyDescent="0.2">
      <c r="A713" s="2">
        <v>46295.950231481482</v>
      </c>
      <c r="B713" s="1">
        <v>1900</v>
      </c>
      <c r="C713" s="1" t="s">
        <v>0</v>
      </c>
      <c r="D713" s="1">
        <v>47.356109619140597</v>
      </c>
      <c r="E713" s="2">
        <v>46295.950231481482</v>
      </c>
      <c r="F713" s="1">
        <v>1900</v>
      </c>
      <c r="G713" s="1" t="s">
        <v>0</v>
      </c>
      <c r="H713" s="1">
        <v>13.0892944335938</v>
      </c>
    </row>
    <row r="714" spans="1:8" ht="14.25" customHeight="1" x14ac:dyDescent="0.2">
      <c r="A714" s="2">
        <v>46295.950266203705</v>
      </c>
      <c r="B714" s="1">
        <v>1800</v>
      </c>
      <c r="C714" s="1" t="s">
        <v>0</v>
      </c>
      <c r="D714" s="1">
        <v>47.321929931640597</v>
      </c>
      <c r="E714" s="2">
        <v>46295.950266203705</v>
      </c>
      <c r="F714" s="1">
        <v>1800</v>
      </c>
      <c r="G714" s="1" t="s">
        <v>0</v>
      </c>
      <c r="H714" s="1">
        <v>13.3113098144531</v>
      </c>
    </row>
    <row r="715" spans="1:8" ht="14.25" customHeight="1" x14ac:dyDescent="0.2">
      <c r="A715" s="2">
        <v>46295.950300925928</v>
      </c>
      <c r="B715" s="1">
        <v>1700</v>
      </c>
      <c r="C715" s="1" t="s">
        <v>0</v>
      </c>
      <c r="D715" s="1">
        <v>47.3309326171875</v>
      </c>
      <c r="E715" s="2">
        <v>46295.950300925928</v>
      </c>
      <c r="F715" s="1">
        <v>1700</v>
      </c>
      <c r="G715" s="1" t="s">
        <v>0</v>
      </c>
      <c r="H715" s="1">
        <v>12.7481079101563</v>
      </c>
    </row>
    <row r="716" spans="1:8" ht="14.25" customHeight="1" x14ac:dyDescent="0.2">
      <c r="A716" s="2">
        <v>46295.950335648151</v>
      </c>
      <c r="B716" s="1">
        <v>1600</v>
      </c>
      <c r="C716" s="1" t="s">
        <v>0</v>
      </c>
      <c r="D716" s="1">
        <v>47.335052490234403</v>
      </c>
      <c r="E716" s="2">
        <v>46295.950335648151</v>
      </c>
      <c r="F716" s="1">
        <v>1600</v>
      </c>
      <c r="G716" s="1" t="s">
        <v>0</v>
      </c>
      <c r="H716" s="1">
        <v>12.5296020507813</v>
      </c>
    </row>
    <row r="717" spans="1:8" ht="14.25" customHeight="1" x14ac:dyDescent="0.2">
      <c r="A717" s="2">
        <v>46295.950370370374</v>
      </c>
      <c r="B717" s="1">
        <v>1500</v>
      </c>
      <c r="C717" s="1" t="s">
        <v>0</v>
      </c>
      <c r="D717" s="1">
        <v>47.353668212890597</v>
      </c>
      <c r="E717" s="2">
        <v>46295.950370370374</v>
      </c>
      <c r="F717" s="1">
        <v>1500</v>
      </c>
      <c r="G717" s="1" t="s">
        <v>0</v>
      </c>
      <c r="H717" s="1">
        <v>12.3033142089844</v>
      </c>
    </row>
    <row r="718" spans="1:8" ht="14.25" customHeight="1" x14ac:dyDescent="0.2">
      <c r="A718" s="2">
        <v>46295.95040509259</v>
      </c>
      <c r="B718" s="1">
        <v>1400</v>
      </c>
      <c r="C718" s="1" t="s">
        <v>0</v>
      </c>
      <c r="D718" s="1">
        <v>47.333831787109403</v>
      </c>
      <c r="E718" s="2">
        <v>46295.95040509259</v>
      </c>
      <c r="F718" s="1">
        <v>1400</v>
      </c>
      <c r="G718" s="1" t="s">
        <v>0</v>
      </c>
      <c r="H718" s="1">
        <v>12.20947265625</v>
      </c>
    </row>
    <row r="719" spans="1:8" ht="14.25" customHeight="1" x14ac:dyDescent="0.2">
      <c r="A719" s="2">
        <v>46295.950439814813</v>
      </c>
      <c r="B719" s="1">
        <v>1300</v>
      </c>
      <c r="C719" s="1" t="s">
        <v>0</v>
      </c>
      <c r="D719" s="1">
        <v>47.3281860351563</v>
      </c>
      <c r="E719" s="2">
        <v>46295.950439814813</v>
      </c>
      <c r="F719" s="1">
        <v>1300</v>
      </c>
      <c r="G719" s="1" t="s">
        <v>0</v>
      </c>
      <c r="H719" s="1">
        <v>12.0237731933594</v>
      </c>
    </row>
    <row r="720" spans="1:8" ht="14.25" customHeight="1" x14ac:dyDescent="0.2">
      <c r="A720" s="2">
        <v>46295.950474537036</v>
      </c>
      <c r="B720" s="1">
        <v>1200</v>
      </c>
      <c r="C720" s="1" t="s">
        <v>0</v>
      </c>
      <c r="D720" s="1">
        <v>47.370758056640597</v>
      </c>
      <c r="E720" s="2">
        <v>46295.950474537036</v>
      </c>
      <c r="F720" s="1">
        <v>1200</v>
      </c>
      <c r="G720" s="1" t="s">
        <v>0</v>
      </c>
      <c r="H720" s="1">
        <v>11.8461608886719</v>
      </c>
    </row>
    <row r="721" spans="1:8" ht="14.25" customHeight="1" x14ac:dyDescent="0.2">
      <c r="A721" s="2">
        <v>46295.950509259259</v>
      </c>
      <c r="B721" s="1">
        <v>1100</v>
      </c>
      <c r="C721" s="1" t="s">
        <v>0</v>
      </c>
      <c r="D721" s="1">
        <v>47.367401123046903</v>
      </c>
      <c r="E721" s="2">
        <v>46295.950509259259</v>
      </c>
      <c r="F721" s="1">
        <v>1100</v>
      </c>
      <c r="G721" s="1" t="s">
        <v>0</v>
      </c>
      <c r="H721" s="1">
        <v>11.6098022460938</v>
      </c>
    </row>
    <row r="722" spans="1:8" ht="14.25" customHeight="1" x14ac:dyDescent="0.2">
      <c r="A722" s="2">
        <v>46295.950543981482</v>
      </c>
      <c r="B722" s="1">
        <v>1000</v>
      </c>
      <c r="C722" s="1" t="s">
        <v>0</v>
      </c>
      <c r="D722" s="1">
        <v>47.34130859375</v>
      </c>
      <c r="E722" s="2">
        <v>46295.950543981482</v>
      </c>
      <c r="F722" s="1">
        <v>1000</v>
      </c>
      <c r="G722" s="1" t="s">
        <v>0</v>
      </c>
      <c r="H722" s="1">
        <v>11.3813781738281</v>
      </c>
    </row>
    <row r="723" spans="1:8" ht="14.25" customHeight="1" x14ac:dyDescent="0.2">
      <c r="A723" s="2">
        <v>46295.950578703705</v>
      </c>
      <c r="B723" s="1">
        <v>900</v>
      </c>
      <c r="C723" s="1" t="s">
        <v>0</v>
      </c>
      <c r="D723" s="1">
        <v>47.36572265625</v>
      </c>
      <c r="E723" s="2">
        <v>46295.950578703705</v>
      </c>
      <c r="F723" s="1">
        <v>900</v>
      </c>
      <c r="G723" s="1" t="s">
        <v>0</v>
      </c>
      <c r="H723" s="1">
        <v>11.1695861816406</v>
      </c>
    </row>
    <row r="724" spans="1:8" ht="14.25" customHeight="1" x14ac:dyDescent="0.2">
      <c r="A724" s="2">
        <v>46295.950613425928</v>
      </c>
      <c r="B724" s="1">
        <v>800</v>
      </c>
      <c r="C724" s="1" t="s">
        <v>0</v>
      </c>
      <c r="D724" s="1">
        <v>47.341461181640597</v>
      </c>
      <c r="E724" s="2">
        <v>46295.950613425928</v>
      </c>
      <c r="F724" s="1">
        <v>800</v>
      </c>
      <c r="G724" s="1" t="s">
        <v>0</v>
      </c>
      <c r="H724" s="1">
        <v>10.9928894042969</v>
      </c>
    </row>
    <row r="725" spans="1:8" ht="14.25" customHeight="1" x14ac:dyDescent="0.2">
      <c r="A725" s="2">
        <v>46295.950648148151</v>
      </c>
      <c r="B725" s="1">
        <v>700</v>
      </c>
      <c r="C725" s="1" t="s">
        <v>0</v>
      </c>
      <c r="D725" s="1">
        <v>47.3361206054688</v>
      </c>
      <c r="E725" s="2">
        <v>46295.950648148151</v>
      </c>
      <c r="F725" s="1">
        <v>700</v>
      </c>
      <c r="G725" s="1" t="s">
        <v>0</v>
      </c>
      <c r="H725" s="1">
        <v>10.7887268066406</v>
      </c>
    </row>
    <row r="726" spans="1:8" ht="14.25" customHeight="1" x14ac:dyDescent="0.2">
      <c r="A726" s="2">
        <v>46295.950682870367</v>
      </c>
      <c r="B726" s="1">
        <v>600</v>
      </c>
      <c r="C726" s="1" t="s">
        <v>0</v>
      </c>
      <c r="D726" s="1">
        <v>47.343597412109403</v>
      </c>
      <c r="E726" s="2">
        <v>46295.950682870367</v>
      </c>
      <c r="F726" s="1">
        <v>600</v>
      </c>
      <c r="G726" s="1" t="s">
        <v>0</v>
      </c>
      <c r="H726" s="1">
        <v>10.706787109375</v>
      </c>
    </row>
    <row r="727" spans="1:8" ht="14.25" customHeight="1" x14ac:dyDescent="0.2">
      <c r="A727" s="2">
        <v>46295.95071759259</v>
      </c>
      <c r="B727" s="1">
        <v>500</v>
      </c>
      <c r="C727" s="1" t="s">
        <v>0</v>
      </c>
      <c r="D727" s="1">
        <v>47.355499267578097</v>
      </c>
      <c r="E727" s="2">
        <v>46295.95071759259</v>
      </c>
      <c r="F727" s="1">
        <v>500</v>
      </c>
      <c r="G727" s="1" t="s">
        <v>0</v>
      </c>
      <c r="H727" s="1">
        <v>10.4280090332031</v>
      </c>
    </row>
    <row r="728" spans="1:8" ht="14.25" customHeight="1" x14ac:dyDescent="0.2">
      <c r="A728" s="2">
        <v>46295.950752314813</v>
      </c>
      <c r="B728" s="1">
        <v>400</v>
      </c>
      <c r="C728" s="1" t="s">
        <v>0</v>
      </c>
      <c r="D728" s="1">
        <v>47.335052490234403</v>
      </c>
      <c r="E728" s="2">
        <v>46295.950752314813</v>
      </c>
      <c r="F728" s="1">
        <v>400</v>
      </c>
      <c r="G728" s="1" t="s">
        <v>0</v>
      </c>
      <c r="H728" s="1">
        <v>10.2255249023438</v>
      </c>
    </row>
    <row r="729" spans="1:8" ht="14.25" customHeight="1" x14ac:dyDescent="0.2">
      <c r="A729" s="2">
        <v>46295.950787037036</v>
      </c>
      <c r="B729" s="1">
        <v>300</v>
      </c>
      <c r="C729" s="1" t="s">
        <v>0</v>
      </c>
      <c r="D729" s="1">
        <v>47.3681640625</v>
      </c>
      <c r="E729" s="2">
        <v>46295.950787037036</v>
      </c>
      <c r="F729" s="1">
        <v>300</v>
      </c>
      <c r="G729" s="1" t="s">
        <v>0</v>
      </c>
      <c r="H729" s="1">
        <v>10.0469970703125</v>
      </c>
    </row>
    <row r="730" spans="1:8" ht="14.25" customHeight="1" x14ac:dyDescent="0.2">
      <c r="A730" s="2">
        <v>46295.950821759259</v>
      </c>
      <c r="B730" s="1">
        <v>200</v>
      </c>
      <c r="C730" s="1" t="s">
        <v>0</v>
      </c>
      <c r="D730" s="1">
        <v>47.376861572265597</v>
      </c>
      <c r="E730" s="2">
        <v>46295.950821759259</v>
      </c>
      <c r="F730" s="1">
        <v>200</v>
      </c>
      <c r="G730" s="1" t="s">
        <v>0</v>
      </c>
      <c r="H730" s="1">
        <v>9.87884521484375</v>
      </c>
    </row>
    <row r="731" spans="1:8" ht="14.25" customHeight="1" x14ac:dyDescent="0.2">
      <c r="A731" s="2">
        <v>46295.950856481482</v>
      </c>
      <c r="B731" s="1">
        <v>100</v>
      </c>
      <c r="C731" s="1" t="s">
        <v>0</v>
      </c>
      <c r="D731" s="1">
        <v>47.346954345703097</v>
      </c>
      <c r="E731" s="2">
        <v>46295.950856481482</v>
      </c>
      <c r="F731" s="1">
        <v>100</v>
      </c>
      <c r="G731" s="1" t="s">
        <v>0</v>
      </c>
      <c r="H731" s="1">
        <v>9.69940185546875</v>
      </c>
    </row>
    <row r="732" spans="1:8" ht="14.25" customHeight="1" x14ac:dyDescent="0.2">
      <c r="A732" s="2">
        <v>46295.950891203705</v>
      </c>
      <c r="B732" s="1">
        <v>0</v>
      </c>
      <c r="C732" s="1" t="s">
        <v>0</v>
      </c>
      <c r="D732" s="1">
        <v>47.378082275390597</v>
      </c>
      <c r="E732" s="2">
        <v>46295.950891203705</v>
      </c>
      <c r="F732" s="1">
        <v>0</v>
      </c>
      <c r="G732" s="1" t="s">
        <v>0</v>
      </c>
      <c r="H732" s="1">
        <v>9.4903564453125</v>
      </c>
    </row>
    <row r="733" spans="1:8" ht="14.25" customHeight="1" x14ac:dyDescent="0.2">
      <c r="A733" s="2">
        <v>46295.950925925928</v>
      </c>
      <c r="B733" s="1">
        <v>-100</v>
      </c>
      <c r="C733" s="1" t="s">
        <v>0</v>
      </c>
      <c r="D733" s="1">
        <v>47.370147705078097</v>
      </c>
      <c r="E733" s="2">
        <v>46295.950925925928</v>
      </c>
      <c r="F733" s="1">
        <v>-100</v>
      </c>
      <c r="G733" s="1" t="s">
        <v>0</v>
      </c>
      <c r="H733" s="1">
        <v>9.2762756347656303</v>
      </c>
    </row>
    <row r="734" spans="1:8" ht="14.25" customHeight="1" x14ac:dyDescent="0.2">
      <c r="A734" s="2">
        <v>46295.950960648152</v>
      </c>
      <c r="B734" s="1">
        <v>-200</v>
      </c>
      <c r="C734" s="1" t="s">
        <v>0</v>
      </c>
      <c r="D734" s="1">
        <v>47.3944091796875</v>
      </c>
      <c r="E734" s="2">
        <v>46295.950960648152</v>
      </c>
      <c r="F734" s="1">
        <v>-200</v>
      </c>
      <c r="G734" s="1" t="s">
        <v>0</v>
      </c>
      <c r="H734" s="1">
        <v>9.0007019042968803</v>
      </c>
    </row>
    <row r="735" spans="1:8" ht="14.25" customHeight="1" x14ac:dyDescent="0.2">
      <c r="A735" s="2">
        <v>46295.950995370367</v>
      </c>
      <c r="B735" s="1">
        <v>-300</v>
      </c>
      <c r="C735" s="1" t="s">
        <v>0</v>
      </c>
      <c r="D735" s="1">
        <v>47.3757934570313</v>
      </c>
      <c r="E735" s="2">
        <v>46295.950995370367</v>
      </c>
      <c r="F735" s="1">
        <v>-300</v>
      </c>
      <c r="G735" s="1" t="s">
        <v>0</v>
      </c>
      <c r="H735" s="1">
        <v>8.7718200683593803</v>
      </c>
    </row>
    <row r="736" spans="1:8" ht="14.25" customHeight="1" x14ac:dyDescent="0.2">
      <c r="A736" s="2">
        <v>46295.95103009259</v>
      </c>
      <c r="B736" s="1">
        <v>-400</v>
      </c>
      <c r="C736" s="1" t="s">
        <v>0</v>
      </c>
      <c r="D736" s="1">
        <v>47.2836303710938</v>
      </c>
      <c r="E736" s="2">
        <v>46295.95103009259</v>
      </c>
      <c r="F736" s="1">
        <v>-400</v>
      </c>
      <c r="G736" s="1" t="s">
        <v>0</v>
      </c>
      <c r="H736" s="1">
        <v>8.59466552734375</v>
      </c>
    </row>
    <row r="737" spans="1:8" ht="14.25" customHeight="1" x14ac:dyDescent="0.2">
      <c r="A737" s="2">
        <v>46295.951064814813</v>
      </c>
      <c r="B737" s="1">
        <v>-500</v>
      </c>
      <c r="C737" s="1" t="s">
        <v>0</v>
      </c>
      <c r="D737" s="1">
        <v>47.389984130859403</v>
      </c>
      <c r="E737" s="2">
        <v>46295.951064814813</v>
      </c>
      <c r="F737" s="1">
        <v>-500</v>
      </c>
      <c r="G737" s="1" t="s">
        <v>0</v>
      </c>
      <c r="H737" s="1">
        <v>8.3360290527343803</v>
      </c>
    </row>
    <row r="738" spans="1:8" ht="14.25" customHeight="1" x14ac:dyDescent="0.2">
      <c r="A738" s="2">
        <v>46295.951099537036</v>
      </c>
      <c r="B738" s="1">
        <v>-600</v>
      </c>
      <c r="C738" s="1" t="s">
        <v>0</v>
      </c>
      <c r="D738" s="1">
        <v>47.3611450195313</v>
      </c>
      <c r="E738" s="2">
        <v>46295.951099537036</v>
      </c>
      <c r="F738" s="1">
        <v>-600</v>
      </c>
      <c r="G738" s="1" t="s">
        <v>0</v>
      </c>
      <c r="H738" s="1">
        <v>8.1443786621093803</v>
      </c>
    </row>
    <row r="739" spans="1:8" ht="14.25" customHeight="1" x14ac:dyDescent="0.2">
      <c r="A739" s="2">
        <v>46295.95113425926</v>
      </c>
      <c r="B739" s="1">
        <v>-700</v>
      </c>
      <c r="C739" s="1" t="s">
        <v>0</v>
      </c>
      <c r="D739" s="1">
        <v>47.382354736328097</v>
      </c>
      <c r="E739" s="2">
        <v>46295.95113425926</v>
      </c>
      <c r="F739" s="1">
        <v>-700</v>
      </c>
      <c r="G739" s="1" t="s">
        <v>0</v>
      </c>
      <c r="H739" s="1">
        <v>7.9437255859375</v>
      </c>
    </row>
    <row r="740" spans="1:8" ht="14.25" customHeight="1" x14ac:dyDescent="0.2">
      <c r="A740" s="2">
        <v>46295.951168981483</v>
      </c>
      <c r="B740" s="1">
        <v>-800</v>
      </c>
      <c r="C740" s="1" t="s">
        <v>0</v>
      </c>
      <c r="D740" s="1">
        <v>47.369537353515597</v>
      </c>
      <c r="E740" s="2">
        <v>46295.951168981483</v>
      </c>
      <c r="F740" s="1">
        <v>-800</v>
      </c>
      <c r="G740" s="1" t="s">
        <v>0</v>
      </c>
      <c r="H740" s="1">
        <v>8.0506896972656303</v>
      </c>
    </row>
    <row r="741" spans="1:8" ht="14.25" customHeight="1" x14ac:dyDescent="0.2">
      <c r="A741" s="2">
        <v>46295.951203703706</v>
      </c>
      <c r="B741" s="1">
        <v>-900</v>
      </c>
      <c r="C741" s="1" t="s">
        <v>0</v>
      </c>
      <c r="D741" s="1">
        <v>47.3846435546875</v>
      </c>
      <c r="E741" s="2">
        <v>46295.951203703706</v>
      </c>
      <c r="F741" s="1">
        <v>-900</v>
      </c>
      <c r="G741" s="1" t="s">
        <v>0</v>
      </c>
      <c r="H741" s="1">
        <v>7.9832458496093803</v>
      </c>
    </row>
    <row r="742" spans="1:8" ht="14.25" customHeight="1" x14ac:dyDescent="0.2">
      <c r="A742" s="2">
        <v>46295.951238425929</v>
      </c>
      <c r="B742" s="1">
        <v>-1000</v>
      </c>
      <c r="C742" s="1" t="s">
        <v>0</v>
      </c>
      <c r="D742" s="1">
        <v>47.372283935546903</v>
      </c>
      <c r="E742" s="2">
        <v>46295.951238425929</v>
      </c>
      <c r="F742" s="1">
        <v>-1000</v>
      </c>
      <c r="G742" s="1" t="s">
        <v>0</v>
      </c>
      <c r="H742" s="1">
        <v>7.8373718261718803</v>
      </c>
    </row>
    <row r="743" spans="1:8" ht="14.25" customHeight="1" x14ac:dyDescent="0.2">
      <c r="A743" s="2">
        <v>46295.951273148145</v>
      </c>
      <c r="B743" s="1">
        <v>-1100</v>
      </c>
      <c r="C743" s="1" t="s">
        <v>0</v>
      </c>
      <c r="D743" s="1">
        <v>47.380828857421903</v>
      </c>
      <c r="E743" s="2">
        <v>46295.951273148145</v>
      </c>
      <c r="F743" s="1">
        <v>-1100</v>
      </c>
      <c r="G743" s="1" t="s">
        <v>0</v>
      </c>
      <c r="H743" s="1">
        <v>7.7958679199218803</v>
      </c>
    </row>
    <row r="744" spans="1:8" ht="14.25" customHeight="1" x14ac:dyDescent="0.2">
      <c r="A744" s="2">
        <v>46295.951307870368</v>
      </c>
      <c r="B744" s="1">
        <v>-1200</v>
      </c>
      <c r="C744" s="1" t="s">
        <v>0</v>
      </c>
      <c r="D744" s="1">
        <v>47.3828125</v>
      </c>
      <c r="E744" s="2">
        <v>46295.951307870368</v>
      </c>
      <c r="F744" s="1">
        <v>-1200</v>
      </c>
      <c r="G744" s="1" t="s">
        <v>0</v>
      </c>
      <c r="H744" s="1">
        <v>7.9411315917968803</v>
      </c>
    </row>
    <row r="745" spans="1:8" ht="14.25" customHeight="1" x14ac:dyDescent="0.2">
      <c r="A745" s="2">
        <v>46295.951342592591</v>
      </c>
      <c r="B745" s="1">
        <v>-1300</v>
      </c>
      <c r="C745" s="1" t="s">
        <v>0</v>
      </c>
      <c r="D745" s="1">
        <v>47.379302978515597</v>
      </c>
      <c r="E745" s="2">
        <v>46295.951342592591</v>
      </c>
      <c r="F745" s="1">
        <v>-1300</v>
      </c>
      <c r="G745" s="1" t="s">
        <v>0</v>
      </c>
      <c r="H745" s="1">
        <v>7.6637268066406303</v>
      </c>
    </row>
    <row r="746" spans="1:8" ht="14.25" customHeight="1" x14ac:dyDescent="0.2">
      <c r="A746" s="2">
        <v>46295.951377314814</v>
      </c>
      <c r="B746" s="1">
        <v>-1400</v>
      </c>
      <c r="C746" s="1" t="s">
        <v>0</v>
      </c>
      <c r="D746" s="1">
        <v>47.397003173828097</v>
      </c>
      <c r="E746" s="2">
        <v>46295.951377314814</v>
      </c>
      <c r="F746" s="1">
        <v>-1400</v>
      </c>
      <c r="G746" s="1" t="s">
        <v>0</v>
      </c>
      <c r="H746" s="1">
        <v>8.00262451171875</v>
      </c>
    </row>
    <row r="747" spans="1:8" ht="14.25" customHeight="1" x14ac:dyDescent="0.2">
      <c r="A747" s="2">
        <v>46295.951412037037</v>
      </c>
      <c r="B747" s="1">
        <v>-1500</v>
      </c>
      <c r="C747" s="1" t="s">
        <v>0</v>
      </c>
      <c r="D747" s="1">
        <v>47.4032592773438</v>
      </c>
      <c r="E747" s="2">
        <v>46295.951412037037</v>
      </c>
      <c r="F747" s="1">
        <v>-1500</v>
      </c>
      <c r="G747" s="1" t="s">
        <v>0</v>
      </c>
      <c r="H747" s="1">
        <v>7.8135681152343803</v>
      </c>
    </row>
    <row r="748" spans="1:8" ht="14.25" customHeight="1" x14ac:dyDescent="0.2">
      <c r="A748" s="2">
        <v>46295.95144675926</v>
      </c>
      <c r="B748" s="1">
        <v>-1600</v>
      </c>
      <c r="C748" s="1" t="s">
        <v>0</v>
      </c>
      <c r="D748" s="1">
        <v>47.398681640625</v>
      </c>
      <c r="E748" s="2">
        <v>46295.95144675926</v>
      </c>
      <c r="F748" s="1">
        <v>-1600</v>
      </c>
      <c r="G748" s="1" t="s">
        <v>0</v>
      </c>
      <c r="H748" s="1">
        <v>7.5218200683593803</v>
      </c>
    </row>
    <row r="749" spans="1:8" ht="14.25" customHeight="1" x14ac:dyDescent="0.2">
      <c r="A749" s="2">
        <v>46295.951481481483</v>
      </c>
      <c r="B749" s="1">
        <v>-1700</v>
      </c>
      <c r="C749" s="1" t="s">
        <v>0</v>
      </c>
      <c r="D749" s="1">
        <v>47.4185180664063</v>
      </c>
      <c r="E749" s="2">
        <v>46295.951481481483</v>
      </c>
      <c r="F749" s="1">
        <v>-1700</v>
      </c>
      <c r="G749" s="1" t="s">
        <v>0</v>
      </c>
      <c r="H749" s="1">
        <v>7.84820556640625</v>
      </c>
    </row>
    <row r="750" spans="1:8" ht="14.25" customHeight="1" x14ac:dyDescent="0.2">
      <c r="A750" s="2">
        <v>46295.951516203706</v>
      </c>
      <c r="B750" s="1">
        <v>-1800</v>
      </c>
      <c r="C750" s="1" t="s">
        <v>0</v>
      </c>
      <c r="D750" s="1">
        <v>47.420501708984403</v>
      </c>
      <c r="E750" s="2">
        <v>46295.951516203706</v>
      </c>
      <c r="F750" s="1">
        <v>-1800</v>
      </c>
      <c r="G750" s="1" t="s">
        <v>0</v>
      </c>
      <c r="H750" s="1">
        <v>8.0445861816406303</v>
      </c>
    </row>
    <row r="751" spans="1:8" ht="14.25" customHeight="1" x14ac:dyDescent="0.2">
      <c r="A751" s="2">
        <v>46295.951550925929</v>
      </c>
      <c r="B751" s="1">
        <v>-1900</v>
      </c>
      <c r="C751" s="1" t="s">
        <v>0</v>
      </c>
      <c r="D751" s="1">
        <v>47.413330078125</v>
      </c>
      <c r="E751" s="2">
        <v>46295.951550925929</v>
      </c>
      <c r="F751" s="1">
        <v>-1900</v>
      </c>
      <c r="G751" s="1" t="s">
        <v>0</v>
      </c>
      <c r="H751" s="1">
        <v>7.4763488769531303</v>
      </c>
    </row>
    <row r="752" spans="1:8" ht="14.25" customHeight="1" x14ac:dyDescent="0.2">
      <c r="A752" s="2">
        <v>46295.951585648145</v>
      </c>
      <c r="B752" s="1">
        <v>-2000</v>
      </c>
      <c r="C752" s="1" t="s">
        <v>0</v>
      </c>
      <c r="D752" s="1">
        <v>47.410888671875</v>
      </c>
      <c r="E752" s="2">
        <v>46295.951585648145</v>
      </c>
      <c r="F752" s="1">
        <v>-2000</v>
      </c>
      <c r="G752" s="1" t="s">
        <v>0</v>
      </c>
      <c r="H752" s="1">
        <v>7.7555847167968803</v>
      </c>
    </row>
    <row r="753" spans="1:8" ht="14.2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4.25" customHeight="1" x14ac:dyDescent="0.2">
      <c r="A754" s="2">
        <v>46295.953368055554</v>
      </c>
      <c r="B754" s="1">
        <v>5000</v>
      </c>
      <c r="C754" s="1" t="s">
        <v>0</v>
      </c>
      <c r="D754" s="1">
        <v>30.7554626464844</v>
      </c>
      <c r="E754" s="2">
        <v>46295.953368055554</v>
      </c>
      <c r="F754" s="1">
        <v>5000</v>
      </c>
      <c r="G754" s="1" t="s">
        <v>0</v>
      </c>
      <c r="H754" s="1">
        <v>16.4772033691406</v>
      </c>
    </row>
    <row r="755" spans="1:8" ht="14.25" customHeight="1" x14ac:dyDescent="0.2">
      <c r="A755" s="2">
        <v>46295.953402777777</v>
      </c>
      <c r="B755" s="1">
        <v>4900</v>
      </c>
      <c r="C755" s="1" t="s">
        <v>0</v>
      </c>
      <c r="D755" s="1">
        <v>47.6959228515625</v>
      </c>
      <c r="E755" s="2">
        <v>46295.953402777777</v>
      </c>
      <c r="F755" s="1">
        <v>4900</v>
      </c>
      <c r="G755" s="1" t="s">
        <v>0</v>
      </c>
      <c r="H755" s="1">
        <v>16.0488891601563</v>
      </c>
    </row>
    <row r="756" spans="1:8" ht="14.25" customHeight="1" x14ac:dyDescent="0.2">
      <c r="A756" s="2">
        <v>46295.9534375</v>
      </c>
      <c r="B756" s="1">
        <v>4800</v>
      </c>
      <c r="C756" s="1" t="s">
        <v>0</v>
      </c>
      <c r="D756" s="1">
        <v>47.784576416015597</v>
      </c>
      <c r="E756" s="2">
        <v>46295.9534375</v>
      </c>
      <c r="F756" s="1">
        <v>4800</v>
      </c>
      <c r="G756" s="1" t="s">
        <v>0</v>
      </c>
      <c r="H756" s="1">
        <v>15.9927368164063</v>
      </c>
    </row>
    <row r="757" spans="1:8" ht="14.25" customHeight="1" x14ac:dyDescent="0.2">
      <c r="A757" s="2">
        <v>46295.953472222223</v>
      </c>
      <c r="B757" s="1">
        <v>4700</v>
      </c>
      <c r="C757" s="1" t="s">
        <v>0</v>
      </c>
      <c r="D757" s="1">
        <v>47.534027099609403</v>
      </c>
      <c r="E757" s="2">
        <v>46295.953472222223</v>
      </c>
      <c r="F757" s="1">
        <v>4700</v>
      </c>
      <c r="G757" s="1" t="s">
        <v>0</v>
      </c>
      <c r="H757" s="1">
        <v>16.0685729980469</v>
      </c>
    </row>
    <row r="758" spans="1:8" ht="14.25" customHeight="1" x14ac:dyDescent="0.2">
      <c r="A758" s="2">
        <v>46295.953506944446</v>
      </c>
      <c r="B758" s="1">
        <v>4600</v>
      </c>
      <c r="C758" s="1" t="s">
        <v>0</v>
      </c>
      <c r="D758" s="1">
        <v>47.531585693359403</v>
      </c>
      <c r="E758" s="2">
        <v>46295.953506944446</v>
      </c>
      <c r="F758" s="1">
        <v>4600</v>
      </c>
      <c r="G758" s="1" t="s">
        <v>0</v>
      </c>
      <c r="H758" s="1">
        <v>15.8111572265625</v>
      </c>
    </row>
    <row r="759" spans="1:8" ht="14.25" customHeight="1" x14ac:dyDescent="0.2">
      <c r="A759" s="2">
        <v>46295.953541666669</v>
      </c>
      <c r="B759" s="1">
        <v>4500</v>
      </c>
      <c r="C759" s="1" t="s">
        <v>0</v>
      </c>
      <c r="D759" s="1">
        <v>47.5448608398438</v>
      </c>
      <c r="E759" s="2">
        <v>46295.953541666669</v>
      </c>
      <c r="F759" s="1">
        <v>4500</v>
      </c>
      <c r="G759" s="1" t="s">
        <v>0</v>
      </c>
      <c r="H759" s="1">
        <v>15.538330078125</v>
      </c>
    </row>
    <row r="760" spans="1:8" ht="14.25" customHeight="1" x14ac:dyDescent="0.2">
      <c r="A760" s="2">
        <v>46295.953576388885</v>
      </c>
      <c r="B760" s="1">
        <v>4400</v>
      </c>
      <c r="C760" s="1" t="s">
        <v>0</v>
      </c>
      <c r="D760" s="1">
        <v>47.5390625</v>
      </c>
      <c r="E760" s="2">
        <v>46295.953576388885</v>
      </c>
      <c r="F760" s="1">
        <v>4400</v>
      </c>
      <c r="G760" s="1" t="s">
        <v>0</v>
      </c>
      <c r="H760" s="1">
        <v>15.4121398925781</v>
      </c>
    </row>
    <row r="761" spans="1:8" ht="14.25" customHeight="1" x14ac:dyDescent="0.2">
      <c r="A761" s="2">
        <v>46295.953611111108</v>
      </c>
      <c r="B761" s="1">
        <v>4300</v>
      </c>
      <c r="C761" s="1" t="s">
        <v>0</v>
      </c>
      <c r="D761" s="1">
        <v>47.562713623046903</v>
      </c>
      <c r="E761" s="2">
        <v>46295.953611111108</v>
      </c>
      <c r="F761" s="1">
        <v>4300</v>
      </c>
      <c r="G761" s="1" t="s">
        <v>0</v>
      </c>
      <c r="H761" s="1">
        <v>15.2188110351563</v>
      </c>
    </row>
    <row r="762" spans="1:8" ht="14.25" customHeight="1" x14ac:dyDescent="0.2">
      <c r="A762" s="2">
        <v>46295.953645833331</v>
      </c>
      <c r="B762" s="1">
        <v>4200</v>
      </c>
      <c r="C762" s="1" t="s">
        <v>0</v>
      </c>
      <c r="D762" s="1">
        <v>47.545623779296903</v>
      </c>
      <c r="E762" s="2">
        <v>46295.953645833331</v>
      </c>
      <c r="F762" s="1">
        <v>4200</v>
      </c>
      <c r="G762" s="1" t="s">
        <v>0</v>
      </c>
      <c r="H762" s="1">
        <v>15.3550720214844</v>
      </c>
    </row>
    <row r="763" spans="1:8" ht="14.25" customHeight="1" x14ac:dyDescent="0.2">
      <c r="A763" s="2">
        <v>46295.953680555554</v>
      </c>
      <c r="B763" s="1">
        <v>4100</v>
      </c>
      <c r="C763" s="1" t="s">
        <v>0</v>
      </c>
      <c r="D763" s="1">
        <v>47.559051513671903</v>
      </c>
      <c r="E763" s="2">
        <v>46295.953680555554</v>
      </c>
      <c r="F763" s="1">
        <v>4100</v>
      </c>
      <c r="G763" s="1" t="s">
        <v>0</v>
      </c>
      <c r="H763" s="1">
        <v>15.3274536132813</v>
      </c>
    </row>
    <row r="764" spans="1:8" ht="14.25" customHeight="1" x14ac:dyDescent="0.2">
      <c r="A764" s="2">
        <v>46295.953715277778</v>
      </c>
      <c r="B764" s="1">
        <v>4000</v>
      </c>
      <c r="C764" s="1" t="s">
        <v>0</v>
      </c>
      <c r="D764" s="1">
        <v>47.5454711914063</v>
      </c>
      <c r="E764" s="2">
        <v>46295.953715277778</v>
      </c>
      <c r="F764" s="1">
        <v>4000</v>
      </c>
      <c r="G764" s="1" t="s">
        <v>0</v>
      </c>
      <c r="H764" s="1">
        <v>15.0382995605469</v>
      </c>
    </row>
    <row r="765" spans="1:8" ht="14.25" customHeight="1" x14ac:dyDescent="0.2">
      <c r="A765" s="2">
        <v>46295.953750000001</v>
      </c>
      <c r="B765" s="1">
        <v>3900</v>
      </c>
      <c r="C765" s="1" t="s">
        <v>0</v>
      </c>
      <c r="D765" s="1">
        <v>47.546234130859403</v>
      </c>
      <c r="E765" s="2">
        <v>46295.953750000001</v>
      </c>
      <c r="F765" s="1">
        <v>3900</v>
      </c>
      <c r="G765" s="1" t="s">
        <v>0</v>
      </c>
      <c r="H765" s="1">
        <v>14.93896484375</v>
      </c>
    </row>
    <row r="766" spans="1:8" ht="14.25" customHeight="1" x14ac:dyDescent="0.2">
      <c r="A766" s="2">
        <v>46295.953784722224</v>
      </c>
      <c r="B766" s="1">
        <v>3800</v>
      </c>
      <c r="C766" s="1" t="s">
        <v>0</v>
      </c>
      <c r="D766" s="1">
        <v>47.5537109375</v>
      </c>
      <c r="E766" s="2">
        <v>46295.953784722224</v>
      </c>
      <c r="F766" s="1">
        <v>3800</v>
      </c>
      <c r="G766" s="1" t="s">
        <v>0</v>
      </c>
      <c r="H766" s="1">
        <v>14.8091125488281</v>
      </c>
    </row>
    <row r="767" spans="1:8" ht="14.25" customHeight="1" x14ac:dyDescent="0.2">
      <c r="A767" s="2">
        <v>46295.953819444447</v>
      </c>
      <c r="B767" s="1">
        <v>3700</v>
      </c>
      <c r="C767" s="1" t="s">
        <v>0</v>
      </c>
      <c r="D767" s="1">
        <v>47.5863647460938</v>
      </c>
      <c r="E767" s="2">
        <v>46295.953819444447</v>
      </c>
      <c r="F767" s="1">
        <v>3700</v>
      </c>
      <c r="G767" s="1" t="s">
        <v>0</v>
      </c>
      <c r="H767" s="1">
        <v>14.6176147460938</v>
      </c>
    </row>
    <row r="768" spans="1:8" ht="14.25" customHeight="1" x14ac:dyDescent="0.2">
      <c r="A768" s="2">
        <v>46295.95385416667</v>
      </c>
      <c r="B768" s="1">
        <v>3600</v>
      </c>
      <c r="C768" s="1" t="s">
        <v>0</v>
      </c>
      <c r="D768" s="1">
        <v>47.849273681640597</v>
      </c>
      <c r="E768" s="2">
        <v>46295.95385416667</v>
      </c>
      <c r="F768" s="1">
        <v>3600</v>
      </c>
      <c r="G768" s="1" t="s">
        <v>0</v>
      </c>
      <c r="H768" s="1">
        <v>14.5225524902344</v>
      </c>
    </row>
    <row r="769" spans="1:8" ht="14.25" customHeight="1" x14ac:dyDescent="0.2">
      <c r="A769" s="2">
        <v>46295.953888888886</v>
      </c>
      <c r="B769" s="1">
        <v>3500</v>
      </c>
      <c r="C769" s="1" t="s">
        <v>0</v>
      </c>
      <c r="D769" s="1">
        <v>47.546844482421903</v>
      </c>
      <c r="E769" s="2">
        <v>46295.953888888886</v>
      </c>
      <c r="F769" s="1">
        <v>3500</v>
      </c>
      <c r="G769" s="1" t="s">
        <v>0</v>
      </c>
      <c r="H769" s="1">
        <v>14.3507385253906</v>
      </c>
    </row>
    <row r="770" spans="1:8" ht="14.25" customHeight="1" x14ac:dyDescent="0.2">
      <c r="A770" s="2">
        <v>46295.953923611109</v>
      </c>
      <c r="B770" s="1">
        <v>3400</v>
      </c>
      <c r="C770" s="1" t="s">
        <v>0</v>
      </c>
      <c r="D770" s="1">
        <v>47.7487182617188</v>
      </c>
      <c r="E770" s="2">
        <v>46295.953923611109</v>
      </c>
      <c r="F770" s="1">
        <v>3400</v>
      </c>
      <c r="G770" s="1" t="s">
        <v>0</v>
      </c>
      <c r="H770" s="1">
        <v>14.4480895996094</v>
      </c>
    </row>
    <row r="771" spans="1:8" ht="14.25" customHeight="1" x14ac:dyDescent="0.2">
      <c r="A771" s="2">
        <v>46295.953958333332</v>
      </c>
      <c r="B771" s="1">
        <v>3300</v>
      </c>
      <c r="C771" s="1" t="s">
        <v>0</v>
      </c>
      <c r="D771" s="1">
        <v>47.579803466796903</v>
      </c>
      <c r="E771" s="2">
        <v>46295.953958333332</v>
      </c>
      <c r="F771" s="1">
        <v>3300</v>
      </c>
      <c r="G771" s="1" t="s">
        <v>0</v>
      </c>
      <c r="H771" s="1">
        <v>14.3136596679688</v>
      </c>
    </row>
    <row r="772" spans="1:8" ht="14.25" customHeight="1" x14ac:dyDescent="0.2">
      <c r="A772" s="2">
        <v>46295.953993055555</v>
      </c>
      <c r="B772" s="1">
        <v>3200</v>
      </c>
      <c r="C772" s="1" t="s">
        <v>0</v>
      </c>
      <c r="D772" s="1">
        <v>47.5299072265625</v>
      </c>
      <c r="E772" s="2">
        <v>46295.953993055555</v>
      </c>
      <c r="F772" s="1">
        <v>3200</v>
      </c>
      <c r="G772" s="1" t="s">
        <v>0</v>
      </c>
      <c r="H772" s="1">
        <v>14.169921875</v>
      </c>
    </row>
    <row r="773" spans="1:8" ht="14.25" customHeight="1" x14ac:dyDescent="0.2">
      <c r="A773" s="2">
        <v>46295.954027777778</v>
      </c>
      <c r="B773" s="1">
        <v>3100</v>
      </c>
      <c r="C773" s="1" t="s">
        <v>0</v>
      </c>
      <c r="D773" s="1">
        <v>52.4246215820313</v>
      </c>
      <c r="E773" s="2">
        <v>46295.954027777778</v>
      </c>
      <c r="F773" s="1">
        <v>3100</v>
      </c>
      <c r="G773" s="1" t="s">
        <v>0</v>
      </c>
      <c r="H773" s="1">
        <v>14.0904235839844</v>
      </c>
    </row>
    <row r="774" spans="1:8" ht="14.25" customHeight="1" x14ac:dyDescent="0.2">
      <c r="A774" s="2">
        <v>46295.954062500001</v>
      </c>
      <c r="B774" s="1">
        <v>3000</v>
      </c>
      <c r="C774" s="1" t="s">
        <v>0</v>
      </c>
      <c r="D774" s="1">
        <v>36.880340576171903</v>
      </c>
      <c r="E774" s="2">
        <v>46295.954062500001</v>
      </c>
      <c r="F774" s="1">
        <v>3000</v>
      </c>
      <c r="G774" s="1" t="s">
        <v>0</v>
      </c>
      <c r="H774" s="1">
        <v>14.69482421875</v>
      </c>
    </row>
    <row r="775" spans="1:8" ht="14.25" customHeight="1" x14ac:dyDescent="0.2">
      <c r="A775" s="2">
        <v>46295.954097222224</v>
      </c>
      <c r="B775" s="1">
        <v>2900</v>
      </c>
      <c r="C775" s="1" t="s">
        <v>0</v>
      </c>
      <c r="D775" s="1">
        <v>51.258697509765597</v>
      </c>
      <c r="E775" s="2">
        <v>46295.954097222224</v>
      </c>
      <c r="F775" s="1">
        <v>2900</v>
      </c>
      <c r="G775" s="1" t="s">
        <v>0</v>
      </c>
      <c r="H775" s="1">
        <v>13.6955261230469</v>
      </c>
    </row>
    <row r="776" spans="1:8" ht="14.25" customHeight="1" x14ac:dyDescent="0.2">
      <c r="A776" s="2">
        <v>46295.954131944447</v>
      </c>
      <c r="B776" s="1">
        <v>2800</v>
      </c>
      <c r="C776" s="1" t="s">
        <v>0</v>
      </c>
      <c r="D776" s="1">
        <v>47.724761962890597</v>
      </c>
      <c r="E776" s="2">
        <v>46295.954131944447</v>
      </c>
      <c r="F776" s="1">
        <v>2800</v>
      </c>
      <c r="G776" s="1" t="s">
        <v>0</v>
      </c>
      <c r="H776" s="1">
        <v>13.6428833007813</v>
      </c>
    </row>
    <row r="777" spans="1:8" ht="14.25" customHeight="1" x14ac:dyDescent="0.2">
      <c r="A777" s="2">
        <v>46295.95416666667</v>
      </c>
      <c r="B777" s="1">
        <v>2700</v>
      </c>
      <c r="C777" s="1" t="s">
        <v>0</v>
      </c>
      <c r="D777" s="1">
        <v>48.8925170898438</v>
      </c>
      <c r="E777" s="2">
        <v>46295.95416666667</v>
      </c>
      <c r="F777" s="1">
        <v>2700</v>
      </c>
      <c r="G777" s="1" t="s">
        <v>0</v>
      </c>
      <c r="H777" s="1">
        <v>13.4223937988281</v>
      </c>
    </row>
    <row r="778" spans="1:8" ht="14.25" customHeight="1" x14ac:dyDescent="0.2">
      <c r="A778" s="2">
        <v>46295.954201388886</v>
      </c>
      <c r="B778" s="1">
        <v>2600</v>
      </c>
      <c r="C778" s="1" t="s">
        <v>0</v>
      </c>
      <c r="D778" s="1">
        <v>47.779998779296903</v>
      </c>
      <c r="E778" s="2">
        <v>46295.954201388886</v>
      </c>
      <c r="F778" s="1">
        <v>2600</v>
      </c>
      <c r="G778" s="1" t="s">
        <v>0</v>
      </c>
      <c r="H778" s="1">
        <v>13.173828125</v>
      </c>
    </row>
    <row r="779" spans="1:8" ht="14.25" customHeight="1" x14ac:dyDescent="0.2">
      <c r="A779" s="2">
        <v>46295.954236111109</v>
      </c>
      <c r="B779" s="1">
        <v>2500</v>
      </c>
      <c r="C779" s="1" t="s">
        <v>0</v>
      </c>
      <c r="D779" s="1">
        <v>48.0032348632813</v>
      </c>
      <c r="E779" s="2">
        <v>46295.954236111109</v>
      </c>
      <c r="F779" s="1">
        <v>2500</v>
      </c>
      <c r="G779" s="1" t="s">
        <v>0</v>
      </c>
      <c r="H779" s="1">
        <v>12.7267456054688</v>
      </c>
    </row>
    <row r="780" spans="1:8" ht="14.25" customHeight="1" x14ac:dyDescent="0.2">
      <c r="A780" s="2">
        <v>46295.954270833332</v>
      </c>
      <c r="B780" s="1">
        <v>2400</v>
      </c>
      <c r="C780" s="1" t="s">
        <v>0</v>
      </c>
      <c r="D780" s="1">
        <v>49.0814208984375</v>
      </c>
      <c r="E780" s="2">
        <v>46295.954270833332</v>
      </c>
      <c r="F780" s="1">
        <v>2400</v>
      </c>
      <c r="G780" s="1" t="s">
        <v>0</v>
      </c>
      <c r="H780" s="1">
        <v>12.5320434570313</v>
      </c>
    </row>
    <row r="781" spans="1:8" ht="14.25" customHeight="1" x14ac:dyDescent="0.2">
      <c r="A781" s="2">
        <v>46295.954305555555</v>
      </c>
      <c r="B781" s="1">
        <v>2300</v>
      </c>
      <c r="C781" s="1" t="s">
        <v>0</v>
      </c>
      <c r="D781" s="1">
        <v>47.6834106445313</v>
      </c>
      <c r="E781" s="2">
        <v>46295.954305555555</v>
      </c>
      <c r="F781" s="1">
        <v>2300</v>
      </c>
      <c r="G781" s="1" t="s">
        <v>0</v>
      </c>
      <c r="H781" s="1">
        <v>12.5064086914063</v>
      </c>
    </row>
    <row r="782" spans="1:8" ht="14.25" customHeight="1" x14ac:dyDescent="0.2">
      <c r="A782" s="2">
        <v>46295.954340277778</v>
      </c>
      <c r="B782" s="1">
        <v>2200</v>
      </c>
      <c r="C782" s="1" t="s">
        <v>0</v>
      </c>
      <c r="D782" s="1">
        <v>47.662506103515597</v>
      </c>
      <c r="E782" s="2">
        <v>46295.954340277778</v>
      </c>
      <c r="F782" s="1">
        <v>2200</v>
      </c>
      <c r="G782" s="1" t="s">
        <v>0</v>
      </c>
      <c r="H782" s="1">
        <v>12.4066162109375</v>
      </c>
    </row>
    <row r="783" spans="1:8" ht="14.25" customHeight="1" x14ac:dyDescent="0.2">
      <c r="A783" s="2">
        <v>46295.954375000001</v>
      </c>
      <c r="B783" s="1">
        <v>2100</v>
      </c>
      <c r="C783" s="1" t="s">
        <v>0</v>
      </c>
      <c r="D783" s="1">
        <v>47.198944091796903</v>
      </c>
      <c r="E783" s="2">
        <v>46295.954375000001</v>
      </c>
      <c r="F783" s="1">
        <v>2100</v>
      </c>
      <c r="G783" s="1" t="s">
        <v>0</v>
      </c>
      <c r="H783" s="1">
        <v>12.3704528808594</v>
      </c>
    </row>
    <row r="784" spans="1:8" ht="14.25" customHeight="1" x14ac:dyDescent="0.2">
      <c r="A784" s="2">
        <v>46295.954409722224</v>
      </c>
      <c r="B784" s="1">
        <v>2000</v>
      </c>
      <c r="C784" s="1" t="s">
        <v>0</v>
      </c>
      <c r="D784" s="1">
        <v>47.626495361328097</v>
      </c>
      <c r="E784" s="2">
        <v>46295.954409722224</v>
      </c>
      <c r="F784" s="1">
        <v>2000</v>
      </c>
      <c r="G784" s="1" t="s">
        <v>0</v>
      </c>
      <c r="H784" s="1">
        <v>11.9511413574219</v>
      </c>
    </row>
    <row r="785" spans="1:8" ht="14.25" customHeight="1" x14ac:dyDescent="0.2">
      <c r="A785" s="2">
        <v>46295.954444444447</v>
      </c>
      <c r="B785" s="1">
        <v>1900</v>
      </c>
      <c r="C785" s="1" t="s">
        <v>0</v>
      </c>
      <c r="D785" s="1">
        <v>47.652740478515597</v>
      </c>
      <c r="E785" s="2">
        <v>46295.954444444447</v>
      </c>
      <c r="F785" s="1">
        <v>1900</v>
      </c>
      <c r="G785" s="1" t="s">
        <v>0</v>
      </c>
      <c r="H785" s="1">
        <v>11.6181945800781</v>
      </c>
    </row>
    <row r="786" spans="1:8" ht="14.25" customHeight="1" x14ac:dyDescent="0.2">
      <c r="A786" s="2">
        <v>46295.954479166663</v>
      </c>
      <c r="B786" s="1">
        <v>1800</v>
      </c>
      <c r="C786" s="1" t="s">
        <v>0</v>
      </c>
      <c r="D786" s="1">
        <v>47.639007568359403</v>
      </c>
      <c r="E786" s="2">
        <v>46295.954479166663</v>
      </c>
      <c r="F786" s="1">
        <v>1800</v>
      </c>
      <c r="G786" s="1" t="s">
        <v>0</v>
      </c>
      <c r="H786" s="1">
        <v>11.3859558105469</v>
      </c>
    </row>
    <row r="787" spans="1:8" ht="14.25" customHeight="1" x14ac:dyDescent="0.2">
      <c r="A787" s="2">
        <v>46295.954513888886</v>
      </c>
      <c r="B787" s="1">
        <v>1700</v>
      </c>
      <c r="C787" s="1" t="s">
        <v>0</v>
      </c>
      <c r="D787" s="1">
        <v>47.6385498046875</v>
      </c>
      <c r="E787" s="2">
        <v>46295.954513888886</v>
      </c>
      <c r="F787" s="1">
        <v>1700</v>
      </c>
      <c r="G787" s="1" t="s">
        <v>0</v>
      </c>
      <c r="H787" s="1">
        <v>11.3943481445313</v>
      </c>
    </row>
    <row r="788" spans="1:8" ht="14.25" customHeight="1" x14ac:dyDescent="0.2">
      <c r="A788" s="2">
        <v>46295.954548611109</v>
      </c>
      <c r="B788" s="1">
        <v>1600</v>
      </c>
      <c r="C788" s="1" t="s">
        <v>0</v>
      </c>
      <c r="D788" s="1">
        <v>47.609710693359403</v>
      </c>
      <c r="E788" s="2">
        <v>46295.954548611109</v>
      </c>
      <c r="F788" s="1">
        <v>1600</v>
      </c>
      <c r="G788" s="1" t="s">
        <v>0</v>
      </c>
      <c r="H788" s="1">
        <v>11.483154296875</v>
      </c>
    </row>
    <row r="789" spans="1:8" ht="14.25" customHeight="1" x14ac:dyDescent="0.2">
      <c r="A789" s="2">
        <v>46295.954583333332</v>
      </c>
      <c r="B789" s="1">
        <v>1500</v>
      </c>
      <c r="C789" s="1" t="s">
        <v>0</v>
      </c>
      <c r="D789" s="1">
        <v>47.6470947265625</v>
      </c>
      <c r="E789" s="2">
        <v>46295.954583333332</v>
      </c>
      <c r="F789" s="1">
        <v>1500</v>
      </c>
      <c r="G789" s="1" t="s">
        <v>0</v>
      </c>
      <c r="H789" s="1">
        <v>11.3755798339844</v>
      </c>
    </row>
    <row r="790" spans="1:8" ht="14.25" customHeight="1" x14ac:dyDescent="0.2">
      <c r="A790" s="2">
        <v>46295.954618055555</v>
      </c>
      <c r="B790" s="1">
        <v>1400</v>
      </c>
      <c r="C790" s="1" t="s">
        <v>0</v>
      </c>
      <c r="D790" s="1">
        <v>46.319580078125</v>
      </c>
      <c r="E790" s="2">
        <v>46295.954618055555</v>
      </c>
      <c r="F790" s="1">
        <v>1400</v>
      </c>
      <c r="G790" s="1" t="s">
        <v>0</v>
      </c>
      <c r="H790" s="1">
        <v>11.6015625</v>
      </c>
    </row>
    <row r="791" spans="1:8" ht="14.25" customHeight="1" x14ac:dyDescent="0.2">
      <c r="A791" s="2">
        <v>46295.954652777778</v>
      </c>
      <c r="B791" s="1">
        <v>1300</v>
      </c>
      <c r="C791" s="1" t="s">
        <v>0</v>
      </c>
      <c r="D791" s="1">
        <v>48.6544799804688</v>
      </c>
      <c r="E791" s="2">
        <v>46295.954652777778</v>
      </c>
      <c r="F791" s="1">
        <v>1300</v>
      </c>
      <c r="G791" s="1" t="s">
        <v>0</v>
      </c>
      <c r="H791" s="1">
        <v>11.7758178710938</v>
      </c>
    </row>
    <row r="792" spans="1:8" ht="14.25" customHeight="1" x14ac:dyDescent="0.2">
      <c r="A792" s="2">
        <v>46295.954687500001</v>
      </c>
      <c r="B792" s="1">
        <v>1200</v>
      </c>
      <c r="C792" s="1" t="s">
        <v>0</v>
      </c>
      <c r="D792" s="1">
        <v>46.771697998046903</v>
      </c>
      <c r="E792" s="2">
        <v>46295.954687500001</v>
      </c>
      <c r="F792" s="1">
        <v>1200</v>
      </c>
      <c r="G792" s="1" t="s">
        <v>0</v>
      </c>
      <c r="H792" s="1">
        <v>11.4732360839844</v>
      </c>
    </row>
    <row r="793" spans="1:8" ht="14.25" customHeight="1" x14ac:dyDescent="0.2">
      <c r="A793" s="2">
        <v>46295.954722222225</v>
      </c>
      <c r="B793" s="1">
        <v>1100</v>
      </c>
      <c r="C793" s="1" t="s">
        <v>0</v>
      </c>
      <c r="D793" s="1">
        <v>47.6983642578125</v>
      </c>
      <c r="E793" s="2">
        <v>46295.954722222225</v>
      </c>
      <c r="F793" s="1">
        <v>1100</v>
      </c>
      <c r="G793" s="1" t="s">
        <v>0</v>
      </c>
      <c r="H793" s="1">
        <v>11.2088012695313</v>
      </c>
    </row>
    <row r="794" spans="1:8" ht="14.25" customHeight="1" x14ac:dyDescent="0.2">
      <c r="A794" s="2">
        <v>46295.954756944448</v>
      </c>
      <c r="B794" s="1">
        <v>1000</v>
      </c>
      <c r="C794" s="1" t="s">
        <v>0</v>
      </c>
      <c r="D794" s="1">
        <v>46.875</v>
      </c>
      <c r="E794" s="2">
        <v>46295.954756944448</v>
      </c>
      <c r="F794" s="1">
        <v>1000</v>
      </c>
      <c r="G794" s="1" t="s">
        <v>0</v>
      </c>
      <c r="H794" s="1">
        <v>11.1817932128906</v>
      </c>
    </row>
    <row r="795" spans="1:8" ht="14.25" customHeight="1" x14ac:dyDescent="0.2">
      <c r="A795" s="2">
        <v>46295.954791666663</v>
      </c>
      <c r="B795" s="1">
        <v>900</v>
      </c>
      <c r="C795" s="1" t="s">
        <v>0</v>
      </c>
      <c r="D795" s="1">
        <v>47.54638671875</v>
      </c>
      <c r="E795" s="2">
        <v>46295.954791666663</v>
      </c>
      <c r="F795" s="1">
        <v>900</v>
      </c>
      <c r="G795" s="1" t="s">
        <v>0</v>
      </c>
      <c r="H795" s="1">
        <v>10.9869384765625</v>
      </c>
    </row>
    <row r="796" spans="1:8" ht="14.25" customHeight="1" x14ac:dyDescent="0.2">
      <c r="A796" s="2">
        <v>46295.954826388886</v>
      </c>
      <c r="B796" s="1">
        <v>800</v>
      </c>
      <c r="C796" s="1" t="s">
        <v>0</v>
      </c>
      <c r="D796" s="1">
        <v>47.9409790039063</v>
      </c>
      <c r="E796" s="2">
        <v>46295.954826388886</v>
      </c>
      <c r="F796" s="1">
        <v>800</v>
      </c>
      <c r="G796" s="1" t="s">
        <v>0</v>
      </c>
      <c r="H796" s="1">
        <v>10.8302307128906</v>
      </c>
    </row>
    <row r="797" spans="1:8" ht="14.25" customHeight="1" x14ac:dyDescent="0.2">
      <c r="A797" s="2">
        <v>46295.954861111109</v>
      </c>
      <c r="B797" s="1">
        <v>700</v>
      </c>
      <c r="C797" s="1" t="s">
        <v>0</v>
      </c>
      <c r="D797" s="1">
        <v>47.620849609375</v>
      </c>
      <c r="E797" s="2">
        <v>46295.954861111109</v>
      </c>
      <c r="F797" s="1">
        <v>700</v>
      </c>
      <c r="G797" s="1" t="s">
        <v>0</v>
      </c>
      <c r="H797" s="1">
        <v>10.8209228515625</v>
      </c>
    </row>
    <row r="798" spans="1:8" ht="14.25" customHeight="1" x14ac:dyDescent="0.2">
      <c r="A798" s="2">
        <v>46295.954895833333</v>
      </c>
      <c r="B798" s="1">
        <v>600</v>
      </c>
      <c r="C798" s="1" t="s">
        <v>0</v>
      </c>
      <c r="D798" s="1">
        <v>47.6138305664063</v>
      </c>
      <c r="E798" s="2">
        <v>46295.954895833333</v>
      </c>
      <c r="F798" s="1">
        <v>600</v>
      </c>
      <c r="G798" s="1" t="s">
        <v>0</v>
      </c>
      <c r="H798" s="1">
        <v>10.8604431152344</v>
      </c>
    </row>
    <row r="799" spans="1:8" ht="14.25" customHeight="1" x14ac:dyDescent="0.2">
      <c r="A799" s="2">
        <v>46295.954930555556</v>
      </c>
      <c r="B799" s="1">
        <v>500</v>
      </c>
      <c r="C799" s="1" t="s">
        <v>0</v>
      </c>
      <c r="D799" s="1">
        <v>47.642669677734403</v>
      </c>
      <c r="E799" s="2">
        <v>46295.954930555556</v>
      </c>
      <c r="F799" s="1">
        <v>500</v>
      </c>
      <c r="G799" s="1" t="s">
        <v>0</v>
      </c>
      <c r="H799" s="1">
        <v>10.8187866210938</v>
      </c>
    </row>
    <row r="800" spans="1:8" ht="14.25" customHeight="1" x14ac:dyDescent="0.2">
      <c r="A800" s="2">
        <v>46295.954965277779</v>
      </c>
      <c r="B800" s="1">
        <v>400</v>
      </c>
      <c r="C800" s="1" t="s">
        <v>0</v>
      </c>
      <c r="D800" s="1">
        <v>48.751983642578097</v>
      </c>
      <c r="E800" s="2">
        <v>46295.954965277779</v>
      </c>
      <c r="F800" s="1">
        <v>400</v>
      </c>
      <c r="G800" s="1" t="s">
        <v>0</v>
      </c>
      <c r="H800" s="1">
        <v>10.7618713378906</v>
      </c>
    </row>
    <row r="801" spans="1:8" ht="14.25" customHeight="1" x14ac:dyDescent="0.2">
      <c r="A801" s="2">
        <v>46295.955000000002</v>
      </c>
      <c r="B801" s="1">
        <v>300</v>
      </c>
      <c r="C801" s="1" t="s">
        <v>0</v>
      </c>
      <c r="D801" s="1">
        <v>47.606048583984403</v>
      </c>
      <c r="E801" s="2">
        <v>46295.955000000002</v>
      </c>
      <c r="F801" s="1">
        <v>300</v>
      </c>
      <c r="G801" s="1" t="s">
        <v>0</v>
      </c>
      <c r="H801" s="1">
        <v>10.5409240722656</v>
      </c>
    </row>
    <row r="802" spans="1:8" ht="14.25" customHeight="1" x14ac:dyDescent="0.2">
      <c r="A802" s="2">
        <v>46295.955034722225</v>
      </c>
      <c r="B802" s="1">
        <v>200</v>
      </c>
      <c r="C802" s="1" t="s">
        <v>0</v>
      </c>
      <c r="D802" s="1">
        <v>47.982940673828097</v>
      </c>
      <c r="E802" s="2">
        <v>46295.955034722225</v>
      </c>
      <c r="F802" s="1">
        <v>200</v>
      </c>
      <c r="G802" s="1" t="s">
        <v>0</v>
      </c>
      <c r="H802" s="1">
        <v>10.46875</v>
      </c>
    </row>
    <row r="803" spans="1:8" ht="14.25" customHeight="1" x14ac:dyDescent="0.2">
      <c r="A803" s="2">
        <v>46295.955069444448</v>
      </c>
      <c r="B803" s="1">
        <v>100</v>
      </c>
      <c r="C803" s="1" t="s">
        <v>0</v>
      </c>
      <c r="D803" s="1">
        <v>47.657623291015597</v>
      </c>
      <c r="E803" s="2">
        <v>46295.955069444448</v>
      </c>
      <c r="F803" s="1">
        <v>100</v>
      </c>
      <c r="G803" s="1" t="s">
        <v>0</v>
      </c>
      <c r="H803" s="1">
        <v>9.6513366699218803</v>
      </c>
    </row>
    <row r="804" spans="1:8" ht="14.25" customHeight="1" x14ac:dyDescent="0.2">
      <c r="A804" s="2">
        <v>46295.955104166664</v>
      </c>
      <c r="B804" s="1">
        <v>0</v>
      </c>
      <c r="C804" s="1" t="s">
        <v>0</v>
      </c>
      <c r="D804" s="1">
        <v>47.648162841796903</v>
      </c>
      <c r="E804" s="2">
        <v>46295.955104166664</v>
      </c>
      <c r="F804" s="1">
        <v>0</v>
      </c>
      <c r="G804" s="1" t="s">
        <v>0</v>
      </c>
      <c r="H804" s="1">
        <v>9.5738220214843803</v>
      </c>
    </row>
    <row r="805" spans="1:8" ht="14.25" customHeight="1" x14ac:dyDescent="0.2">
      <c r="A805" s="2">
        <v>46295.955138888887</v>
      </c>
      <c r="B805" s="1">
        <v>-100</v>
      </c>
      <c r="C805" s="1" t="s">
        <v>0</v>
      </c>
      <c r="D805" s="1">
        <v>47.6333618164063</v>
      </c>
      <c r="E805" s="2">
        <v>46295.955138888887</v>
      </c>
      <c r="F805" s="1">
        <v>-100</v>
      </c>
      <c r="G805" s="1" t="s">
        <v>0</v>
      </c>
      <c r="H805" s="1">
        <v>9.3421936035156303</v>
      </c>
    </row>
    <row r="806" spans="1:8" ht="14.25" customHeight="1" x14ac:dyDescent="0.2">
      <c r="A806" s="2">
        <v>46295.95517361111</v>
      </c>
      <c r="B806" s="1">
        <v>-200</v>
      </c>
      <c r="C806" s="1" t="s">
        <v>0</v>
      </c>
      <c r="D806" s="1">
        <v>47.647857666015597</v>
      </c>
      <c r="E806" s="2">
        <v>46295.95517361111</v>
      </c>
      <c r="F806" s="1">
        <v>-200</v>
      </c>
      <c r="G806" s="1" t="s">
        <v>0</v>
      </c>
      <c r="H806" s="1">
        <v>9.7772216796875</v>
      </c>
    </row>
    <row r="807" spans="1:8" ht="14.25" customHeight="1" x14ac:dyDescent="0.2">
      <c r="A807" s="2">
        <v>46295.955208333333</v>
      </c>
      <c r="B807" s="1">
        <v>-300</v>
      </c>
      <c r="C807" s="1" t="s">
        <v>0</v>
      </c>
      <c r="D807" s="1">
        <v>47.663421630859403</v>
      </c>
      <c r="E807" s="2">
        <v>46295.955208333333</v>
      </c>
      <c r="F807" s="1">
        <v>-300</v>
      </c>
      <c r="G807" s="1" t="s">
        <v>0</v>
      </c>
      <c r="H807" s="1">
        <v>9.0702819824218803</v>
      </c>
    </row>
    <row r="808" spans="1:8" ht="14.25" customHeight="1" x14ac:dyDescent="0.2">
      <c r="A808" s="2">
        <v>46295.955243055556</v>
      </c>
      <c r="B808" s="1">
        <v>-400</v>
      </c>
      <c r="C808" s="1" t="s">
        <v>0</v>
      </c>
      <c r="D808" s="1">
        <v>47.622528076171903</v>
      </c>
      <c r="E808" s="2">
        <v>46295.955243055556</v>
      </c>
      <c r="F808" s="1">
        <v>-400</v>
      </c>
      <c r="G808" s="1" t="s">
        <v>0</v>
      </c>
      <c r="H808" s="1">
        <v>9.4309997558593803</v>
      </c>
    </row>
    <row r="809" spans="1:8" ht="14.25" customHeight="1" x14ac:dyDescent="0.2">
      <c r="A809" s="2">
        <v>46295.955277777779</v>
      </c>
      <c r="B809" s="1">
        <v>-500</v>
      </c>
      <c r="C809" s="1" t="s">
        <v>0</v>
      </c>
      <c r="D809" s="1">
        <v>47.650909423828097</v>
      </c>
      <c r="E809" s="2">
        <v>46295.955277777779</v>
      </c>
      <c r="F809" s="1">
        <v>-500</v>
      </c>
      <c r="G809" s="1" t="s">
        <v>0</v>
      </c>
      <c r="H809" s="1">
        <v>9.4395446777343803</v>
      </c>
    </row>
    <row r="810" spans="1:8" ht="14.25" customHeight="1" x14ac:dyDescent="0.2">
      <c r="A810" s="2">
        <v>46295.955312500002</v>
      </c>
      <c r="B810" s="1">
        <v>-600</v>
      </c>
      <c r="C810" s="1" t="s">
        <v>0</v>
      </c>
      <c r="D810" s="1">
        <v>47.662200927734403</v>
      </c>
      <c r="E810" s="2">
        <v>46295.955312500002</v>
      </c>
      <c r="F810" s="1">
        <v>-600</v>
      </c>
      <c r="G810" s="1" t="s">
        <v>0</v>
      </c>
      <c r="H810" s="1">
        <v>9.5079040527343803</v>
      </c>
    </row>
    <row r="811" spans="1:8" ht="14.25" customHeight="1" x14ac:dyDescent="0.2">
      <c r="A811" s="2">
        <v>46295.955347222225</v>
      </c>
      <c r="B811" s="1">
        <v>-700</v>
      </c>
      <c r="C811" s="1" t="s">
        <v>0</v>
      </c>
      <c r="D811" s="1">
        <v>47.61962890625</v>
      </c>
      <c r="E811" s="2">
        <v>46295.955347222225</v>
      </c>
      <c r="F811" s="1">
        <v>-700</v>
      </c>
      <c r="G811" s="1" t="s">
        <v>0</v>
      </c>
      <c r="H811" s="1">
        <v>9.3663024902343803</v>
      </c>
    </row>
    <row r="812" spans="1:8" ht="14.25" customHeight="1" x14ac:dyDescent="0.2">
      <c r="A812" s="2">
        <v>46295.955381944441</v>
      </c>
      <c r="B812" s="1">
        <v>-800</v>
      </c>
      <c r="C812" s="1" t="s">
        <v>0</v>
      </c>
      <c r="D812" s="1">
        <v>47.657928466796903</v>
      </c>
      <c r="E812" s="2">
        <v>46295.955381944441</v>
      </c>
      <c r="F812" s="1">
        <v>-800</v>
      </c>
      <c r="G812" s="1" t="s">
        <v>0</v>
      </c>
      <c r="H812" s="1">
        <v>9.5872497558593803</v>
      </c>
    </row>
    <row r="813" spans="1:8" ht="14.25" customHeight="1" x14ac:dyDescent="0.2">
      <c r="A813" s="2">
        <v>46295.955416666664</v>
      </c>
      <c r="B813" s="1">
        <v>-900</v>
      </c>
      <c r="C813" s="1" t="s">
        <v>0</v>
      </c>
      <c r="D813" s="1">
        <v>47.6394653320313</v>
      </c>
      <c r="E813" s="2">
        <v>46295.955416666664</v>
      </c>
      <c r="F813" s="1">
        <v>-900</v>
      </c>
      <c r="G813" s="1" t="s">
        <v>0</v>
      </c>
      <c r="H813" s="1">
        <v>8.7290954589843803</v>
      </c>
    </row>
    <row r="814" spans="1:8" ht="14.25" customHeight="1" x14ac:dyDescent="0.2">
      <c r="A814" s="2">
        <v>46295.955451388887</v>
      </c>
      <c r="B814" s="1">
        <v>-1000</v>
      </c>
      <c r="C814" s="1" t="s">
        <v>0</v>
      </c>
      <c r="D814" s="1">
        <v>47.65869140625</v>
      </c>
      <c r="E814" s="2">
        <v>46295.955451388887</v>
      </c>
      <c r="F814" s="1">
        <v>-1000</v>
      </c>
      <c r="G814" s="1" t="s">
        <v>0</v>
      </c>
      <c r="H814" s="1">
        <v>9.241943359375</v>
      </c>
    </row>
    <row r="815" spans="1:8" ht="14.25" customHeight="1" x14ac:dyDescent="0.2">
      <c r="A815" s="2">
        <v>46295.95548611111</v>
      </c>
      <c r="B815" s="1">
        <v>-1100</v>
      </c>
      <c r="C815" s="1" t="s">
        <v>0</v>
      </c>
      <c r="D815" s="1">
        <v>47.649688720703097</v>
      </c>
      <c r="E815" s="2">
        <v>46295.95548611111</v>
      </c>
      <c r="F815" s="1">
        <v>-1100</v>
      </c>
      <c r="G815" s="1" t="s">
        <v>0</v>
      </c>
      <c r="H815" s="1">
        <v>9.17938232421875</v>
      </c>
    </row>
    <row r="816" spans="1:8" ht="14.25" customHeight="1" x14ac:dyDescent="0.2">
      <c r="A816" s="2">
        <v>46295.955520833333</v>
      </c>
      <c r="B816" s="1">
        <v>-1200</v>
      </c>
      <c r="C816" s="1" t="s">
        <v>0</v>
      </c>
      <c r="D816" s="1">
        <v>47.6300048828125</v>
      </c>
      <c r="E816" s="2">
        <v>46295.955520833333</v>
      </c>
      <c r="F816" s="1">
        <v>-1200</v>
      </c>
      <c r="G816" s="1" t="s">
        <v>0</v>
      </c>
      <c r="H816" s="1">
        <v>9.5890808105468803</v>
      </c>
    </row>
    <row r="817" spans="1:8" ht="14.25" customHeight="1" x14ac:dyDescent="0.2">
      <c r="A817" s="2">
        <v>46295.955555555556</v>
      </c>
      <c r="B817" s="1">
        <v>-1300</v>
      </c>
      <c r="C817" s="1" t="s">
        <v>0</v>
      </c>
      <c r="D817" s="1">
        <v>47.659149169921903</v>
      </c>
      <c r="E817" s="2">
        <v>46295.955555555556</v>
      </c>
      <c r="F817" s="1">
        <v>-1300</v>
      </c>
      <c r="G817" s="1" t="s">
        <v>0</v>
      </c>
      <c r="H817" s="1">
        <v>8.72222900390625</v>
      </c>
    </row>
    <row r="818" spans="1:8" ht="14.25" customHeight="1" x14ac:dyDescent="0.2">
      <c r="A818" s="2">
        <v>46295.955590277779</v>
      </c>
      <c r="B818" s="1">
        <v>-1400</v>
      </c>
      <c r="C818" s="1" t="s">
        <v>0</v>
      </c>
      <c r="D818" s="1">
        <v>47.630157470703097</v>
      </c>
      <c r="E818" s="2">
        <v>46295.955590277779</v>
      </c>
      <c r="F818" s="1">
        <v>-1400</v>
      </c>
      <c r="G818" s="1" t="s">
        <v>0</v>
      </c>
      <c r="H818" s="1">
        <v>8.6848449707031303</v>
      </c>
    </row>
    <row r="819" spans="1:8" ht="14.25" customHeight="1" x14ac:dyDescent="0.2">
      <c r="A819" s="2">
        <v>46295.955625000002</v>
      </c>
      <c r="B819" s="1">
        <v>-1500</v>
      </c>
      <c r="C819" s="1" t="s">
        <v>0</v>
      </c>
      <c r="D819" s="1">
        <v>47.680816650390597</v>
      </c>
      <c r="E819" s="2">
        <v>46295.955625000002</v>
      </c>
      <c r="F819" s="1">
        <v>-1500</v>
      </c>
      <c r="G819" s="1" t="s">
        <v>0</v>
      </c>
      <c r="H819" s="1">
        <v>9.4575500488281303</v>
      </c>
    </row>
    <row r="820" spans="1:8" ht="14.25" customHeight="1" x14ac:dyDescent="0.2">
      <c r="A820" s="2">
        <v>46295.955659722225</v>
      </c>
      <c r="B820" s="1">
        <v>-1600</v>
      </c>
      <c r="C820" s="1" t="s">
        <v>0</v>
      </c>
      <c r="D820" s="1">
        <v>47.6394653320313</v>
      </c>
      <c r="E820" s="2">
        <v>46295.955659722225</v>
      </c>
      <c r="F820" s="1">
        <v>-1600</v>
      </c>
      <c r="G820" s="1" t="s">
        <v>0</v>
      </c>
      <c r="H820" s="1">
        <v>8.8525390625</v>
      </c>
    </row>
    <row r="821" spans="1:8" ht="14.25" customHeight="1" x14ac:dyDescent="0.2">
      <c r="A821" s="2">
        <v>46295.955694444441</v>
      </c>
      <c r="B821" s="1">
        <v>-1700</v>
      </c>
      <c r="C821" s="1" t="s">
        <v>0</v>
      </c>
      <c r="D821" s="1">
        <v>47.6467895507813</v>
      </c>
      <c r="E821" s="2">
        <v>46295.955694444441</v>
      </c>
      <c r="F821" s="1">
        <v>-1700</v>
      </c>
      <c r="G821" s="1" t="s">
        <v>0</v>
      </c>
      <c r="H821" s="1">
        <v>8.9811706542968803</v>
      </c>
    </row>
    <row r="822" spans="1:8" ht="14.25" customHeight="1" x14ac:dyDescent="0.2">
      <c r="A822" s="2">
        <v>46295.955740740741</v>
      </c>
      <c r="B822" s="1">
        <v>-1800</v>
      </c>
      <c r="C822" s="1" t="s">
        <v>0</v>
      </c>
      <c r="D822" s="1">
        <v>47.6358032226563</v>
      </c>
      <c r="E822" s="2">
        <v>46295.955740740741</v>
      </c>
      <c r="F822" s="1">
        <v>-1800</v>
      </c>
      <c r="G822" s="1" t="s">
        <v>0</v>
      </c>
      <c r="H822" s="1">
        <v>9.2388916015625</v>
      </c>
    </row>
    <row r="823" spans="1:8" ht="14.25" customHeight="1" x14ac:dyDescent="0.2">
      <c r="A823" s="2">
        <v>46295.955775462964</v>
      </c>
      <c r="B823" s="1">
        <v>-1900</v>
      </c>
      <c r="C823" s="1" t="s">
        <v>0</v>
      </c>
      <c r="D823" s="1">
        <v>47.672119140625</v>
      </c>
      <c r="E823" s="2">
        <v>46295.955775462964</v>
      </c>
      <c r="F823" s="1">
        <v>-1900</v>
      </c>
      <c r="G823" s="1" t="s">
        <v>0</v>
      </c>
      <c r="H823" s="1">
        <v>8.8018798828125</v>
      </c>
    </row>
    <row r="824" spans="1:8" ht="14.25" customHeight="1" x14ac:dyDescent="0.2">
      <c r="A824" s="2">
        <v>46295.955810185187</v>
      </c>
      <c r="B824" s="1">
        <v>-2000</v>
      </c>
      <c r="C824" s="1" t="s">
        <v>0</v>
      </c>
      <c r="D824" s="1">
        <v>47.6553344726563</v>
      </c>
      <c r="E824" s="2">
        <v>46295.955810185187</v>
      </c>
      <c r="F824" s="1">
        <v>-2000</v>
      </c>
      <c r="G824" s="1" t="s">
        <v>0</v>
      </c>
      <c r="H824" s="1">
        <v>9.088134765625</v>
      </c>
    </row>
    <row r="825" spans="1:8" ht="14.2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4.25" customHeight="1" x14ac:dyDescent="0.2">
      <c r="A826" s="2">
        <v>46295.958402777775</v>
      </c>
      <c r="B826" s="1">
        <v>5000</v>
      </c>
      <c r="C826" s="1" t="s">
        <v>0</v>
      </c>
      <c r="D826" s="1">
        <v>47.740631103515597</v>
      </c>
      <c r="E826" s="2">
        <v>46295.958402777775</v>
      </c>
      <c r="F826" s="1">
        <v>5000</v>
      </c>
      <c r="G826" s="1" t="s">
        <v>0</v>
      </c>
      <c r="H826" s="1">
        <v>16.3114929199219</v>
      </c>
    </row>
    <row r="827" spans="1:8" ht="14.25" customHeight="1" x14ac:dyDescent="0.2">
      <c r="A827" s="2">
        <v>46295.958437499998</v>
      </c>
      <c r="B827" s="1">
        <v>4900</v>
      </c>
      <c r="C827" s="1" t="s">
        <v>0</v>
      </c>
      <c r="D827" s="1">
        <v>47.7346801757813</v>
      </c>
      <c r="E827" s="2">
        <v>46295.958437499998</v>
      </c>
      <c r="F827" s="1">
        <v>4900</v>
      </c>
      <c r="G827" s="1" t="s">
        <v>0</v>
      </c>
      <c r="H827" s="1">
        <v>15.2799987792969</v>
      </c>
    </row>
    <row r="828" spans="1:8" ht="14.25" customHeight="1" x14ac:dyDescent="0.2">
      <c r="A828" s="2">
        <v>46295.958472222221</v>
      </c>
      <c r="B828" s="1">
        <v>4800</v>
      </c>
      <c r="C828" s="1" t="s">
        <v>0</v>
      </c>
      <c r="D828" s="1">
        <v>48.5308837890625</v>
      </c>
      <c r="E828" s="2">
        <v>46295.958472222221</v>
      </c>
      <c r="F828" s="1">
        <v>4800</v>
      </c>
      <c r="G828" s="1" t="s">
        <v>0</v>
      </c>
      <c r="H828" s="1">
        <v>15.4571533203125</v>
      </c>
    </row>
    <row r="829" spans="1:8" ht="14.25" customHeight="1" x14ac:dyDescent="0.2">
      <c r="A829" s="2">
        <v>46295.958506944444</v>
      </c>
      <c r="B829" s="1">
        <v>4700</v>
      </c>
      <c r="C829" s="1" t="s">
        <v>0</v>
      </c>
      <c r="D829" s="1">
        <v>47.8903198242188</v>
      </c>
      <c r="E829" s="2">
        <v>46295.958506944444</v>
      </c>
      <c r="F829" s="1">
        <v>4700</v>
      </c>
      <c r="G829" s="1" t="s">
        <v>0</v>
      </c>
      <c r="H829" s="1">
        <v>15.3366088867188</v>
      </c>
    </row>
    <row r="830" spans="1:8" ht="14.25" customHeight="1" x14ac:dyDescent="0.2">
      <c r="A830" s="2">
        <v>46295.958541666667</v>
      </c>
      <c r="B830" s="1">
        <v>4600</v>
      </c>
      <c r="C830" s="1" t="s">
        <v>0</v>
      </c>
      <c r="D830" s="1">
        <v>47.8085327148438</v>
      </c>
      <c r="E830" s="2">
        <v>46295.958541666667</v>
      </c>
      <c r="F830" s="1">
        <v>4600</v>
      </c>
      <c r="G830" s="1" t="s">
        <v>0</v>
      </c>
      <c r="H830" s="1">
        <v>15.2960205078125</v>
      </c>
    </row>
    <row r="831" spans="1:8" ht="14.25" customHeight="1" x14ac:dyDescent="0.2">
      <c r="A831" s="2">
        <v>46295.95857638889</v>
      </c>
      <c r="B831" s="1">
        <v>4500</v>
      </c>
      <c r="C831" s="1" t="s">
        <v>0</v>
      </c>
      <c r="D831" s="1">
        <v>47.845458984375</v>
      </c>
      <c r="E831" s="2">
        <v>46295.95857638889</v>
      </c>
      <c r="F831" s="1">
        <v>4500</v>
      </c>
      <c r="G831" s="1" t="s">
        <v>0</v>
      </c>
      <c r="H831" s="1">
        <v>15.4960632324219</v>
      </c>
    </row>
    <row r="832" spans="1:8" ht="14.25" customHeight="1" x14ac:dyDescent="0.2">
      <c r="A832" s="2">
        <v>46295.958611111113</v>
      </c>
      <c r="B832" s="1">
        <v>4400</v>
      </c>
      <c r="C832" s="1" t="s">
        <v>0</v>
      </c>
      <c r="D832" s="1">
        <v>47.923431396484403</v>
      </c>
      <c r="E832" s="2">
        <v>46295.958611111113</v>
      </c>
      <c r="F832" s="1">
        <v>4400</v>
      </c>
      <c r="G832" s="1" t="s">
        <v>0</v>
      </c>
      <c r="H832" s="1">
        <v>15.1268005371094</v>
      </c>
    </row>
    <row r="833" spans="1:8" ht="14.25" customHeight="1" x14ac:dyDescent="0.2">
      <c r="A833" s="2">
        <v>46295.958645833336</v>
      </c>
      <c r="B833" s="1">
        <v>4300</v>
      </c>
      <c r="C833" s="1" t="s">
        <v>0</v>
      </c>
      <c r="D833" s="1">
        <v>47.8472900390625</v>
      </c>
      <c r="E833" s="2">
        <v>46295.958645833336</v>
      </c>
      <c r="F833" s="1">
        <v>4300</v>
      </c>
      <c r="G833" s="1" t="s">
        <v>0</v>
      </c>
      <c r="H833" s="1">
        <v>14.9333190917969</v>
      </c>
    </row>
    <row r="834" spans="1:8" ht="14.25" customHeight="1" x14ac:dyDescent="0.2">
      <c r="A834" s="2">
        <v>46295.958680555559</v>
      </c>
      <c r="B834" s="1">
        <v>4200</v>
      </c>
      <c r="C834" s="1" t="s">
        <v>0</v>
      </c>
      <c r="D834" s="1">
        <v>47.8118896484375</v>
      </c>
      <c r="E834" s="2">
        <v>46295.958680555559</v>
      </c>
      <c r="F834" s="1">
        <v>4200</v>
      </c>
      <c r="G834" s="1" t="s">
        <v>0</v>
      </c>
      <c r="H834" s="1">
        <v>15.8439636230469</v>
      </c>
    </row>
    <row r="835" spans="1:8" ht="14.25" customHeight="1" x14ac:dyDescent="0.2">
      <c r="A835" s="2">
        <v>46295.958715277775</v>
      </c>
      <c r="B835" s="1">
        <v>4100</v>
      </c>
      <c r="C835" s="1" t="s">
        <v>0</v>
      </c>
      <c r="D835" s="1">
        <v>47.8021240234375</v>
      </c>
      <c r="E835" s="2">
        <v>46295.958715277775</v>
      </c>
      <c r="F835" s="1">
        <v>4100</v>
      </c>
      <c r="G835" s="1" t="s">
        <v>0</v>
      </c>
      <c r="H835" s="1">
        <v>14.8875427246094</v>
      </c>
    </row>
    <row r="836" spans="1:8" ht="14.25" customHeight="1" x14ac:dyDescent="0.2">
      <c r="A836" s="2">
        <v>46295.958749999998</v>
      </c>
      <c r="B836" s="1">
        <v>4000</v>
      </c>
      <c r="C836" s="1" t="s">
        <v>0</v>
      </c>
      <c r="D836" s="1">
        <v>47.8277587890625</v>
      </c>
      <c r="E836" s="2">
        <v>46295.958749999998</v>
      </c>
      <c r="F836" s="1">
        <v>4000</v>
      </c>
      <c r="G836" s="1" t="s">
        <v>0</v>
      </c>
      <c r="H836" s="1">
        <v>14.6450805664063</v>
      </c>
    </row>
    <row r="837" spans="1:8" ht="14.25" customHeight="1" x14ac:dyDescent="0.2">
      <c r="A837" s="2">
        <v>46295.958784722221</v>
      </c>
      <c r="B837" s="1">
        <v>3900</v>
      </c>
      <c r="C837" s="1" t="s">
        <v>0</v>
      </c>
      <c r="D837" s="1">
        <v>47.771148681640597</v>
      </c>
      <c r="E837" s="2">
        <v>46295.958784722221</v>
      </c>
      <c r="F837" s="1">
        <v>3900</v>
      </c>
      <c r="G837" s="1" t="s">
        <v>0</v>
      </c>
      <c r="H837" s="1">
        <v>14.3801879882813</v>
      </c>
    </row>
    <row r="838" spans="1:8" ht="14.25" customHeight="1" x14ac:dyDescent="0.2">
      <c r="A838" s="2">
        <v>46295.958819444444</v>
      </c>
      <c r="B838" s="1">
        <v>3800</v>
      </c>
      <c r="C838" s="1" t="s">
        <v>0</v>
      </c>
      <c r="D838" s="1">
        <v>47.813568115234403</v>
      </c>
      <c r="E838" s="2">
        <v>46295.958819444444</v>
      </c>
      <c r="F838" s="1">
        <v>3800</v>
      </c>
      <c r="G838" s="1" t="s">
        <v>0</v>
      </c>
      <c r="H838" s="1">
        <v>14.2083740234375</v>
      </c>
    </row>
    <row r="839" spans="1:8" ht="14.25" customHeight="1" x14ac:dyDescent="0.2">
      <c r="A839" s="2">
        <v>46295.958854166667</v>
      </c>
      <c r="B839" s="1">
        <v>3700</v>
      </c>
      <c r="C839" s="1" t="s">
        <v>0</v>
      </c>
      <c r="D839" s="1">
        <v>47.830047607421903</v>
      </c>
      <c r="E839" s="2">
        <v>46295.958854166667</v>
      </c>
      <c r="F839" s="1">
        <v>3700</v>
      </c>
      <c r="G839" s="1" t="s">
        <v>0</v>
      </c>
      <c r="H839" s="1">
        <v>14.0560913085938</v>
      </c>
    </row>
    <row r="840" spans="1:8" ht="14.25" customHeight="1" x14ac:dyDescent="0.2">
      <c r="A840" s="2">
        <v>46295.95888888889</v>
      </c>
      <c r="B840" s="1">
        <v>3600</v>
      </c>
      <c r="C840" s="1" t="s">
        <v>0</v>
      </c>
      <c r="D840" s="1">
        <v>47.8070068359375</v>
      </c>
      <c r="E840" s="2">
        <v>46295.95888888889</v>
      </c>
      <c r="F840" s="1">
        <v>3600</v>
      </c>
      <c r="G840" s="1" t="s">
        <v>0</v>
      </c>
      <c r="H840" s="1">
        <v>14.4526672363281</v>
      </c>
    </row>
    <row r="841" spans="1:8" ht="14.25" customHeight="1" x14ac:dyDescent="0.2">
      <c r="A841" s="2">
        <v>46295.958923611113</v>
      </c>
      <c r="B841" s="1">
        <v>3500</v>
      </c>
      <c r="C841" s="1" t="s">
        <v>0</v>
      </c>
      <c r="D841" s="1">
        <v>47.8250122070313</v>
      </c>
      <c r="E841" s="2">
        <v>46295.958923611113</v>
      </c>
      <c r="F841" s="1">
        <v>3500</v>
      </c>
      <c r="G841" s="1" t="s">
        <v>0</v>
      </c>
      <c r="H841" s="1">
        <v>13.8862609863281</v>
      </c>
    </row>
    <row r="842" spans="1:8" ht="14.25" customHeight="1" x14ac:dyDescent="0.2">
      <c r="A842" s="2">
        <v>46295.958958333336</v>
      </c>
      <c r="B842" s="1">
        <v>3400</v>
      </c>
      <c r="C842" s="1" t="s">
        <v>0</v>
      </c>
      <c r="D842" s="1">
        <v>47.8457641601563</v>
      </c>
      <c r="E842" s="2">
        <v>46295.958958333336</v>
      </c>
      <c r="F842" s="1">
        <v>3400</v>
      </c>
      <c r="G842" s="1" t="s">
        <v>0</v>
      </c>
      <c r="H842" s="1">
        <v>13.7213134765625</v>
      </c>
    </row>
    <row r="843" spans="1:8" ht="14.25" customHeight="1" x14ac:dyDescent="0.2">
      <c r="A843" s="2">
        <v>46295.958993055552</v>
      </c>
      <c r="B843" s="1">
        <v>3300</v>
      </c>
      <c r="C843" s="1" t="s">
        <v>0</v>
      </c>
      <c r="D843" s="1">
        <v>47.7947998046875</v>
      </c>
      <c r="E843" s="2">
        <v>46295.958993055552</v>
      </c>
      <c r="F843" s="1">
        <v>3300</v>
      </c>
      <c r="G843" s="1" t="s">
        <v>0</v>
      </c>
      <c r="H843" s="1">
        <v>13.4880065917969</v>
      </c>
    </row>
    <row r="844" spans="1:8" ht="14.25" customHeight="1" x14ac:dyDescent="0.2">
      <c r="A844" s="2">
        <v>46295.959027777775</v>
      </c>
      <c r="B844" s="1">
        <v>3200</v>
      </c>
      <c r="C844" s="1" t="s">
        <v>0</v>
      </c>
      <c r="D844" s="1">
        <v>47.8378295898438</v>
      </c>
      <c r="E844" s="2">
        <v>46295.959027777775</v>
      </c>
      <c r="F844" s="1">
        <v>3200</v>
      </c>
      <c r="G844" s="1" t="s">
        <v>0</v>
      </c>
      <c r="H844" s="1">
        <v>13.2154846191406</v>
      </c>
    </row>
    <row r="845" spans="1:8" ht="14.25" customHeight="1" x14ac:dyDescent="0.2">
      <c r="A845" s="2">
        <v>46295.959062499998</v>
      </c>
      <c r="B845" s="1">
        <v>3100</v>
      </c>
      <c r="C845" s="1" t="s">
        <v>0</v>
      </c>
      <c r="D845" s="1">
        <v>47.816619873046903</v>
      </c>
      <c r="E845" s="2">
        <v>46295.959062499998</v>
      </c>
      <c r="F845" s="1">
        <v>3100</v>
      </c>
      <c r="G845" s="1" t="s">
        <v>0</v>
      </c>
      <c r="H845" s="1">
        <v>13.070068359375</v>
      </c>
    </row>
    <row r="846" spans="1:8" ht="14.25" customHeight="1" x14ac:dyDescent="0.2">
      <c r="A846" s="2">
        <v>46295.959097222221</v>
      </c>
      <c r="B846" s="1">
        <v>3000</v>
      </c>
      <c r="C846" s="1" t="s">
        <v>0</v>
      </c>
      <c r="D846" s="1">
        <v>47.8298950195313</v>
      </c>
      <c r="E846" s="2">
        <v>46295.959097222221</v>
      </c>
      <c r="F846" s="1">
        <v>3000</v>
      </c>
      <c r="G846" s="1" t="s">
        <v>0</v>
      </c>
      <c r="H846" s="1">
        <v>13.087158203125</v>
      </c>
    </row>
    <row r="847" spans="1:8" ht="14.25" customHeight="1" x14ac:dyDescent="0.2">
      <c r="A847" s="2">
        <v>46295.959131944444</v>
      </c>
      <c r="B847" s="1">
        <v>2900</v>
      </c>
      <c r="C847" s="1" t="s">
        <v>0</v>
      </c>
      <c r="D847" s="1">
        <v>47.8347778320313</v>
      </c>
      <c r="E847" s="2">
        <v>46295.959131944444</v>
      </c>
      <c r="F847" s="1">
        <v>2900</v>
      </c>
      <c r="G847" s="1" t="s">
        <v>0</v>
      </c>
      <c r="H847" s="1">
        <v>12.9017639160156</v>
      </c>
    </row>
    <row r="848" spans="1:8" ht="14.25" customHeight="1" x14ac:dyDescent="0.2">
      <c r="A848" s="2">
        <v>46295.959166666667</v>
      </c>
      <c r="B848" s="1">
        <v>2800</v>
      </c>
      <c r="C848" s="1" t="s">
        <v>0</v>
      </c>
      <c r="D848" s="1">
        <v>47.8359985351563</v>
      </c>
      <c r="E848" s="2">
        <v>46295.959166666667</v>
      </c>
      <c r="F848" s="1">
        <v>2800</v>
      </c>
      <c r="G848" s="1" t="s">
        <v>0</v>
      </c>
      <c r="H848" s="1">
        <v>12.8028869628906</v>
      </c>
    </row>
    <row r="849" spans="1:8" ht="14.25" customHeight="1" x14ac:dyDescent="0.2">
      <c r="A849" s="2">
        <v>46295.959201388891</v>
      </c>
      <c r="B849" s="1">
        <v>2700</v>
      </c>
      <c r="C849" s="1" t="s">
        <v>0</v>
      </c>
      <c r="D849" s="1">
        <v>47.8225708007813</v>
      </c>
      <c r="E849" s="2">
        <v>46295.959201388891</v>
      </c>
      <c r="F849" s="1">
        <v>2700</v>
      </c>
      <c r="G849" s="1" t="s">
        <v>0</v>
      </c>
      <c r="H849" s="1">
        <v>12.6802062988281</v>
      </c>
    </row>
    <row r="850" spans="1:8" ht="14.25" customHeight="1" x14ac:dyDescent="0.2">
      <c r="A850" s="2">
        <v>46295.959236111114</v>
      </c>
      <c r="B850" s="1">
        <v>2600</v>
      </c>
      <c r="C850" s="1" t="s">
        <v>0</v>
      </c>
      <c r="D850" s="1">
        <v>47.844696044921903</v>
      </c>
      <c r="E850" s="2">
        <v>46295.959236111114</v>
      </c>
      <c r="F850" s="1">
        <v>2600</v>
      </c>
      <c r="G850" s="1" t="s">
        <v>0</v>
      </c>
      <c r="H850" s="1">
        <v>12.5624084472656</v>
      </c>
    </row>
    <row r="851" spans="1:8" ht="14.25" customHeight="1" x14ac:dyDescent="0.2">
      <c r="A851" s="2">
        <v>46295.959270833337</v>
      </c>
      <c r="B851" s="1">
        <v>2500</v>
      </c>
      <c r="C851" s="1" t="s">
        <v>0</v>
      </c>
      <c r="D851" s="1">
        <v>47.831268310546903</v>
      </c>
      <c r="E851" s="2">
        <v>46295.959270833337</v>
      </c>
      <c r="F851" s="1">
        <v>2500</v>
      </c>
      <c r="G851" s="1" t="s">
        <v>0</v>
      </c>
      <c r="H851" s="1">
        <v>12.4925231933594</v>
      </c>
    </row>
    <row r="852" spans="1:8" ht="14.25" customHeight="1" x14ac:dyDescent="0.2">
      <c r="A852" s="2">
        <v>46295.959305555552</v>
      </c>
      <c r="B852" s="1">
        <v>2400</v>
      </c>
      <c r="C852" s="1" t="s">
        <v>0</v>
      </c>
      <c r="D852" s="1">
        <v>47.825469970703097</v>
      </c>
      <c r="E852" s="2">
        <v>46295.959305555552</v>
      </c>
      <c r="F852" s="1">
        <v>2400</v>
      </c>
      <c r="G852" s="1" t="s">
        <v>0</v>
      </c>
      <c r="H852" s="1">
        <v>12.1749877929688</v>
      </c>
    </row>
    <row r="853" spans="1:8" ht="14.25" customHeight="1" x14ac:dyDescent="0.2">
      <c r="A853" s="2">
        <v>46295.959340277775</v>
      </c>
      <c r="B853" s="1">
        <v>2300</v>
      </c>
      <c r="C853" s="1" t="s">
        <v>0</v>
      </c>
      <c r="D853" s="1">
        <v>47.8329467773438</v>
      </c>
      <c r="E853" s="2">
        <v>46295.959340277775</v>
      </c>
      <c r="F853" s="1">
        <v>2300</v>
      </c>
      <c r="G853" s="1" t="s">
        <v>0</v>
      </c>
      <c r="H853" s="1">
        <v>11.9137573242188</v>
      </c>
    </row>
    <row r="854" spans="1:8" ht="14.25" customHeight="1" x14ac:dyDescent="0.2">
      <c r="A854" s="2">
        <v>46295.959374999999</v>
      </c>
      <c r="B854" s="1">
        <v>2200</v>
      </c>
      <c r="C854" s="1" t="s">
        <v>0</v>
      </c>
      <c r="D854" s="1">
        <v>47.852325439453097</v>
      </c>
      <c r="E854" s="2">
        <v>46295.959374999999</v>
      </c>
      <c r="F854" s="1">
        <v>2200</v>
      </c>
      <c r="G854" s="1" t="s">
        <v>0</v>
      </c>
      <c r="H854" s="1">
        <v>12.0245361328125</v>
      </c>
    </row>
    <row r="855" spans="1:8" ht="14.25" customHeight="1" x14ac:dyDescent="0.2">
      <c r="A855" s="2">
        <v>46295.959409722222</v>
      </c>
      <c r="B855" s="1">
        <v>2100</v>
      </c>
      <c r="C855" s="1" t="s">
        <v>0</v>
      </c>
      <c r="D855" s="1">
        <v>47.829742431640597</v>
      </c>
      <c r="E855" s="2">
        <v>46295.959409722222</v>
      </c>
      <c r="F855" s="1">
        <v>2100</v>
      </c>
      <c r="G855" s="1" t="s">
        <v>0</v>
      </c>
      <c r="H855" s="1">
        <v>11.8064880371094</v>
      </c>
    </row>
    <row r="856" spans="1:8" ht="14.25" customHeight="1" x14ac:dyDescent="0.2">
      <c r="A856" s="2">
        <v>46295.959444444445</v>
      </c>
      <c r="B856" s="1">
        <v>2000</v>
      </c>
      <c r="C856" s="1" t="s">
        <v>0</v>
      </c>
      <c r="D856" s="1">
        <v>47.8567504882813</v>
      </c>
      <c r="E856" s="2">
        <v>46295.959444444445</v>
      </c>
      <c r="F856" s="1">
        <v>2000</v>
      </c>
      <c r="G856" s="1" t="s">
        <v>0</v>
      </c>
      <c r="H856" s="1">
        <v>11.7507934570313</v>
      </c>
    </row>
    <row r="857" spans="1:8" ht="14.25" customHeight="1" x14ac:dyDescent="0.2">
      <c r="A857" s="2">
        <v>46295.959479166668</v>
      </c>
      <c r="B857" s="1">
        <v>1900</v>
      </c>
      <c r="C857" s="1" t="s">
        <v>0</v>
      </c>
      <c r="D857" s="1">
        <v>47.865753173828097</v>
      </c>
      <c r="E857" s="2">
        <v>46295.959479166668</v>
      </c>
      <c r="F857" s="1">
        <v>1900</v>
      </c>
      <c r="G857" s="1" t="s">
        <v>0</v>
      </c>
      <c r="H857" s="1">
        <v>11.5251159667969</v>
      </c>
    </row>
    <row r="858" spans="1:8" ht="14.25" customHeight="1" x14ac:dyDescent="0.2">
      <c r="A858" s="2">
        <v>46295.959513888891</v>
      </c>
      <c r="B858" s="1">
        <v>1800</v>
      </c>
      <c r="C858" s="1" t="s">
        <v>0</v>
      </c>
      <c r="D858" s="1">
        <v>47.847442626953097</v>
      </c>
      <c r="E858" s="2">
        <v>46295.959513888891</v>
      </c>
      <c r="F858" s="1">
        <v>1800</v>
      </c>
      <c r="G858" s="1" t="s">
        <v>0</v>
      </c>
      <c r="H858" s="1">
        <v>11.3485717773438</v>
      </c>
    </row>
    <row r="859" spans="1:8" ht="14.25" customHeight="1" x14ac:dyDescent="0.2">
      <c r="A859" s="2">
        <v>46295.959548611114</v>
      </c>
      <c r="B859" s="1">
        <v>1700</v>
      </c>
      <c r="C859" s="1" t="s">
        <v>0</v>
      </c>
      <c r="D859" s="1">
        <v>47.847900390625</v>
      </c>
      <c r="E859" s="2">
        <v>46295.959548611114</v>
      </c>
      <c r="F859" s="1">
        <v>1700</v>
      </c>
      <c r="G859" s="1" t="s">
        <v>0</v>
      </c>
      <c r="H859" s="1">
        <v>11.2739562988281</v>
      </c>
    </row>
    <row r="860" spans="1:8" ht="14.25" customHeight="1" x14ac:dyDescent="0.2">
      <c r="A860" s="2">
        <v>46295.959583333337</v>
      </c>
      <c r="B860" s="1">
        <v>1600</v>
      </c>
      <c r="C860" s="1" t="s">
        <v>0</v>
      </c>
      <c r="D860" s="1">
        <v>47.8741455078125</v>
      </c>
      <c r="E860" s="2">
        <v>46295.959583333337</v>
      </c>
      <c r="F860" s="1">
        <v>1600</v>
      </c>
      <c r="G860" s="1" t="s">
        <v>0</v>
      </c>
      <c r="H860" s="1">
        <v>11.1253356933594</v>
      </c>
    </row>
    <row r="861" spans="1:8" ht="14.25" customHeight="1" x14ac:dyDescent="0.2">
      <c r="A861" s="2">
        <v>46295.959618055553</v>
      </c>
      <c r="B861" s="1">
        <v>1500</v>
      </c>
      <c r="C861" s="1" t="s">
        <v>0</v>
      </c>
      <c r="D861" s="1">
        <v>47.8387451171875</v>
      </c>
      <c r="E861" s="2">
        <v>46295.959618055553</v>
      </c>
      <c r="F861" s="1">
        <v>1500</v>
      </c>
      <c r="G861" s="1" t="s">
        <v>0</v>
      </c>
      <c r="H861" s="1">
        <v>10.9541320800781</v>
      </c>
    </row>
    <row r="862" spans="1:8" ht="14.25" customHeight="1" x14ac:dyDescent="0.2">
      <c r="A862" s="2">
        <v>46295.959652777776</v>
      </c>
      <c r="B862" s="1">
        <v>1400</v>
      </c>
      <c r="C862" s="1" t="s">
        <v>0</v>
      </c>
      <c r="D862" s="1">
        <v>47.8594970703125</v>
      </c>
      <c r="E862" s="2">
        <v>46295.959652777776</v>
      </c>
      <c r="F862" s="1">
        <v>1400</v>
      </c>
      <c r="G862" s="1" t="s">
        <v>0</v>
      </c>
      <c r="H862" s="1">
        <v>10.7614135742188</v>
      </c>
    </row>
    <row r="863" spans="1:8" ht="14.25" customHeight="1" x14ac:dyDescent="0.2">
      <c r="A863" s="2">
        <v>46295.959687499999</v>
      </c>
      <c r="B863" s="1">
        <v>1300</v>
      </c>
      <c r="C863" s="1" t="s">
        <v>0</v>
      </c>
      <c r="D863" s="1">
        <v>47.8582763671875</v>
      </c>
      <c r="E863" s="2">
        <v>46295.959687499999</v>
      </c>
      <c r="F863" s="1">
        <v>1300</v>
      </c>
      <c r="G863" s="1" t="s">
        <v>0</v>
      </c>
      <c r="H863" s="1">
        <v>10.5902099609375</v>
      </c>
    </row>
    <row r="864" spans="1:8" ht="14.25" customHeight="1" x14ac:dyDescent="0.2">
      <c r="A864" s="2">
        <v>46295.959722222222</v>
      </c>
      <c r="B864" s="1">
        <v>1200</v>
      </c>
      <c r="C864" s="1" t="s">
        <v>0</v>
      </c>
      <c r="D864" s="1">
        <v>47.838287353515597</v>
      </c>
      <c r="E864" s="2">
        <v>46295.959722222222</v>
      </c>
      <c r="F864" s="1">
        <v>1200</v>
      </c>
      <c r="G864" s="1" t="s">
        <v>0</v>
      </c>
      <c r="H864" s="1">
        <v>10.3395080566406</v>
      </c>
    </row>
    <row r="865" spans="1:8" ht="14.25" customHeight="1" x14ac:dyDescent="0.2">
      <c r="A865" s="2">
        <v>46295.959756944445</v>
      </c>
      <c r="B865" s="1">
        <v>1100</v>
      </c>
      <c r="C865" s="1" t="s">
        <v>0</v>
      </c>
      <c r="D865" s="1">
        <v>47.8616333007813</v>
      </c>
      <c r="E865" s="2">
        <v>46295.959756944445</v>
      </c>
      <c r="F865" s="1">
        <v>1100</v>
      </c>
      <c r="G865" s="1" t="s">
        <v>0</v>
      </c>
      <c r="H865" s="1">
        <v>10.2891540527344</v>
      </c>
    </row>
    <row r="866" spans="1:8" ht="14.25" customHeight="1" x14ac:dyDescent="0.2">
      <c r="A866" s="2">
        <v>46295.959791666668</v>
      </c>
      <c r="B866" s="1">
        <v>1000</v>
      </c>
      <c r="C866" s="1" t="s">
        <v>0</v>
      </c>
      <c r="D866" s="1">
        <v>47.836761474609403</v>
      </c>
      <c r="E866" s="2">
        <v>46295.959791666668</v>
      </c>
      <c r="F866" s="1">
        <v>1000</v>
      </c>
      <c r="G866" s="1" t="s">
        <v>0</v>
      </c>
      <c r="H866" s="1">
        <v>10.3065490722656</v>
      </c>
    </row>
    <row r="867" spans="1:8" ht="14.25" customHeight="1" x14ac:dyDescent="0.2">
      <c r="A867" s="2">
        <v>46295.959826388891</v>
      </c>
      <c r="B867" s="1">
        <v>900</v>
      </c>
      <c r="C867" s="1" t="s">
        <v>0</v>
      </c>
      <c r="D867" s="1">
        <v>47.849273681640597</v>
      </c>
      <c r="E867" s="2">
        <v>46295.959826388891</v>
      </c>
      <c r="F867" s="1">
        <v>900</v>
      </c>
      <c r="G867" s="1" t="s">
        <v>0</v>
      </c>
      <c r="H867" s="1">
        <v>10.2085876464844</v>
      </c>
    </row>
    <row r="868" spans="1:8" ht="14.25" customHeight="1" x14ac:dyDescent="0.2">
      <c r="A868" s="2">
        <v>46295.959861111114</v>
      </c>
      <c r="B868" s="1">
        <v>800</v>
      </c>
      <c r="C868" s="1" t="s">
        <v>0</v>
      </c>
      <c r="D868" s="1">
        <v>47.853546142578097</v>
      </c>
      <c r="E868" s="2">
        <v>46295.959861111114</v>
      </c>
      <c r="F868" s="1">
        <v>800</v>
      </c>
      <c r="G868" s="1" t="s">
        <v>0</v>
      </c>
      <c r="H868" s="1">
        <v>10.1356506347656</v>
      </c>
    </row>
    <row r="869" spans="1:8" ht="14.25" customHeight="1" x14ac:dyDescent="0.2">
      <c r="A869" s="2">
        <v>46295.95989583333</v>
      </c>
      <c r="B869" s="1">
        <v>700</v>
      </c>
      <c r="C869" s="1" t="s">
        <v>0</v>
      </c>
      <c r="D869" s="1">
        <v>47.850341796875</v>
      </c>
      <c r="E869" s="2">
        <v>46295.95989583333</v>
      </c>
      <c r="F869" s="1">
        <v>700</v>
      </c>
      <c r="G869" s="1" t="s">
        <v>0</v>
      </c>
      <c r="H869" s="1">
        <v>9.9723815917968803</v>
      </c>
    </row>
    <row r="870" spans="1:8" ht="14.25" customHeight="1" x14ac:dyDescent="0.2">
      <c r="A870" s="2">
        <v>46295.959930555553</v>
      </c>
      <c r="B870" s="1">
        <v>600</v>
      </c>
      <c r="C870" s="1" t="s">
        <v>0</v>
      </c>
      <c r="D870" s="1">
        <v>47.851715087890597</v>
      </c>
      <c r="E870" s="2">
        <v>46295.959930555553</v>
      </c>
      <c r="F870" s="1">
        <v>600</v>
      </c>
      <c r="G870" s="1" t="s">
        <v>0</v>
      </c>
      <c r="H870" s="1">
        <v>9.86785888671875</v>
      </c>
    </row>
    <row r="871" spans="1:8" ht="14.25" customHeight="1" x14ac:dyDescent="0.2">
      <c r="A871" s="2">
        <v>46295.959965277776</v>
      </c>
      <c r="B871" s="1">
        <v>500</v>
      </c>
      <c r="C871" s="1" t="s">
        <v>0</v>
      </c>
      <c r="D871" s="1">
        <v>47.83935546875</v>
      </c>
      <c r="E871" s="2">
        <v>46295.959965277776</v>
      </c>
      <c r="F871" s="1">
        <v>500</v>
      </c>
      <c r="G871" s="1" t="s">
        <v>0</v>
      </c>
      <c r="H871" s="1">
        <v>9.6623229980468803</v>
      </c>
    </row>
    <row r="872" spans="1:8" ht="14.25" customHeight="1" x14ac:dyDescent="0.2">
      <c r="A872" s="2">
        <v>46295.96</v>
      </c>
      <c r="B872" s="1">
        <v>400</v>
      </c>
      <c r="C872" s="1" t="s">
        <v>0</v>
      </c>
      <c r="D872" s="1">
        <v>47.843475341796903</v>
      </c>
      <c r="E872" s="2">
        <v>46295.96</v>
      </c>
      <c r="F872" s="1">
        <v>400</v>
      </c>
      <c r="G872" s="1" t="s">
        <v>0</v>
      </c>
      <c r="H872" s="1">
        <v>9.525146484375</v>
      </c>
    </row>
    <row r="873" spans="1:8" ht="14.25" customHeight="1" x14ac:dyDescent="0.2">
      <c r="A873" s="2">
        <v>46295.960034722222</v>
      </c>
      <c r="B873" s="1">
        <v>300</v>
      </c>
      <c r="C873" s="1" t="s">
        <v>0</v>
      </c>
      <c r="D873" s="1">
        <v>47.852783203125</v>
      </c>
      <c r="E873" s="2">
        <v>46295.960034722222</v>
      </c>
      <c r="F873" s="1">
        <v>300</v>
      </c>
      <c r="G873" s="1" t="s">
        <v>0</v>
      </c>
      <c r="H873" s="1">
        <v>9.38751220703125</v>
      </c>
    </row>
    <row r="874" spans="1:8" ht="14.25" customHeight="1" x14ac:dyDescent="0.2">
      <c r="A874" s="2">
        <v>46295.960069444445</v>
      </c>
      <c r="B874" s="1">
        <v>200</v>
      </c>
      <c r="C874" s="1" t="s">
        <v>0</v>
      </c>
      <c r="D874" s="1">
        <v>47.899017333984403</v>
      </c>
      <c r="E874" s="2">
        <v>46295.960069444445</v>
      </c>
      <c r="F874" s="1">
        <v>200</v>
      </c>
      <c r="G874" s="1" t="s">
        <v>0</v>
      </c>
      <c r="H874" s="1">
        <v>9.2314147949218803</v>
      </c>
    </row>
    <row r="875" spans="1:8" ht="14.25" customHeight="1" x14ac:dyDescent="0.2">
      <c r="A875" s="2">
        <v>46295.960104166668</v>
      </c>
      <c r="B875" s="1">
        <v>100</v>
      </c>
      <c r="C875" s="1" t="s">
        <v>0</v>
      </c>
      <c r="D875" s="1">
        <v>47.8659057617188</v>
      </c>
      <c r="E875" s="2">
        <v>46295.960104166668</v>
      </c>
      <c r="F875" s="1">
        <v>100</v>
      </c>
      <c r="G875" s="1" t="s">
        <v>0</v>
      </c>
      <c r="H875" s="1">
        <v>9.0519714355468803</v>
      </c>
    </row>
    <row r="876" spans="1:8" ht="14.25" customHeight="1" x14ac:dyDescent="0.2">
      <c r="A876" s="2">
        <v>46295.960138888891</v>
      </c>
      <c r="B876" s="1">
        <v>0</v>
      </c>
      <c r="C876" s="1" t="s">
        <v>0</v>
      </c>
      <c r="D876" s="1">
        <v>47.864990234375</v>
      </c>
      <c r="E876" s="2">
        <v>46295.960138888891</v>
      </c>
      <c r="F876" s="1">
        <v>0</v>
      </c>
      <c r="G876" s="1" t="s">
        <v>0</v>
      </c>
      <c r="H876" s="1">
        <v>8.9216613769531303</v>
      </c>
    </row>
    <row r="877" spans="1:8" ht="14.25" customHeight="1" x14ac:dyDescent="0.2">
      <c r="A877" s="2">
        <v>46295.960173611114</v>
      </c>
      <c r="B877" s="1">
        <v>-100</v>
      </c>
      <c r="C877" s="1" t="s">
        <v>0</v>
      </c>
      <c r="D877" s="1">
        <v>47.868499755859403</v>
      </c>
      <c r="E877" s="2">
        <v>46295.960173611114</v>
      </c>
      <c r="F877" s="1">
        <v>-100</v>
      </c>
      <c r="G877" s="1" t="s">
        <v>0</v>
      </c>
      <c r="H877" s="1">
        <v>8.7982177734375</v>
      </c>
    </row>
    <row r="878" spans="1:8" ht="14.25" customHeight="1" x14ac:dyDescent="0.2">
      <c r="A878" s="2">
        <v>46295.96020833333</v>
      </c>
      <c r="B878" s="1">
        <v>-200</v>
      </c>
      <c r="C878" s="1" t="s">
        <v>0</v>
      </c>
      <c r="D878" s="1">
        <v>47.866363525390597</v>
      </c>
      <c r="E878" s="2">
        <v>46295.96020833333</v>
      </c>
      <c r="F878" s="1">
        <v>-200</v>
      </c>
      <c r="G878" s="1" t="s">
        <v>0</v>
      </c>
      <c r="H878" s="1">
        <v>8.8385009765625</v>
      </c>
    </row>
    <row r="879" spans="1:8" ht="14.25" customHeight="1" x14ac:dyDescent="0.2">
      <c r="A879" s="2">
        <v>46295.960243055553</v>
      </c>
      <c r="B879" s="1">
        <v>-300</v>
      </c>
      <c r="C879" s="1" t="s">
        <v>0</v>
      </c>
      <c r="D879" s="1">
        <v>47.8961181640625</v>
      </c>
      <c r="E879" s="2">
        <v>46295.960243055553</v>
      </c>
      <c r="F879" s="1">
        <v>-300</v>
      </c>
      <c r="G879" s="1" t="s">
        <v>0</v>
      </c>
      <c r="H879" s="1">
        <v>8.78814697265625</v>
      </c>
    </row>
    <row r="880" spans="1:8" ht="14.25" customHeight="1" x14ac:dyDescent="0.2">
      <c r="A880" s="2">
        <v>46295.960277777776</v>
      </c>
      <c r="B880" s="1">
        <v>-400</v>
      </c>
      <c r="C880" s="1" t="s">
        <v>0</v>
      </c>
      <c r="D880" s="1">
        <v>47.861175537109403</v>
      </c>
      <c r="E880" s="2">
        <v>46295.960277777776</v>
      </c>
      <c r="F880" s="1">
        <v>-400</v>
      </c>
      <c r="G880" s="1" t="s">
        <v>0</v>
      </c>
      <c r="H880" s="1">
        <v>8.9683532714843803</v>
      </c>
    </row>
    <row r="881" spans="1:8" ht="14.25" customHeight="1" x14ac:dyDescent="0.2">
      <c r="A881" s="2">
        <v>46295.960312499999</v>
      </c>
      <c r="B881" s="1">
        <v>-500</v>
      </c>
      <c r="C881" s="1" t="s">
        <v>0</v>
      </c>
      <c r="D881" s="1">
        <v>47.8732299804688</v>
      </c>
      <c r="E881" s="2">
        <v>46295.960312499999</v>
      </c>
      <c r="F881" s="1">
        <v>-500</v>
      </c>
      <c r="G881" s="1" t="s">
        <v>0</v>
      </c>
      <c r="H881" s="1">
        <v>8.6933898925781303</v>
      </c>
    </row>
    <row r="882" spans="1:8" ht="14.25" customHeight="1" x14ac:dyDescent="0.2">
      <c r="A882" s="2">
        <v>46295.960347222222</v>
      </c>
      <c r="B882" s="1">
        <v>-600</v>
      </c>
      <c r="C882" s="1" t="s">
        <v>0</v>
      </c>
      <c r="D882" s="1">
        <v>47.8857421875</v>
      </c>
      <c r="E882" s="2">
        <v>46295.960347222222</v>
      </c>
      <c r="F882" s="1">
        <v>-600</v>
      </c>
      <c r="G882" s="1" t="s">
        <v>0</v>
      </c>
      <c r="H882" s="1">
        <v>8.82171630859375</v>
      </c>
    </row>
    <row r="883" spans="1:8" ht="14.25" customHeight="1" x14ac:dyDescent="0.2">
      <c r="A883" s="2">
        <v>46295.960381944446</v>
      </c>
      <c r="B883" s="1">
        <v>-700</v>
      </c>
      <c r="C883" s="1" t="s">
        <v>0</v>
      </c>
      <c r="D883" s="1">
        <v>47.884521484375</v>
      </c>
      <c r="E883" s="2">
        <v>46295.960381944446</v>
      </c>
      <c r="F883" s="1">
        <v>-700</v>
      </c>
      <c r="G883" s="1" t="s">
        <v>0</v>
      </c>
      <c r="H883" s="1">
        <v>8.81011962890625</v>
      </c>
    </row>
    <row r="884" spans="1:8" ht="14.25" customHeight="1" x14ac:dyDescent="0.2">
      <c r="A884" s="2">
        <v>46295.960416666669</v>
      </c>
      <c r="B884" s="1">
        <v>-800</v>
      </c>
      <c r="C884" s="1" t="s">
        <v>0</v>
      </c>
      <c r="D884" s="1">
        <v>47.881622314453097</v>
      </c>
      <c r="E884" s="2">
        <v>46295.960416666669</v>
      </c>
      <c r="F884" s="1">
        <v>-800</v>
      </c>
      <c r="G884" s="1" t="s">
        <v>0</v>
      </c>
      <c r="H884" s="1">
        <v>8.8121032714843803</v>
      </c>
    </row>
    <row r="885" spans="1:8" ht="14.25" customHeight="1" x14ac:dyDescent="0.2">
      <c r="A885" s="2">
        <v>46295.960451388892</v>
      </c>
      <c r="B885" s="1">
        <v>-900</v>
      </c>
      <c r="C885" s="1" t="s">
        <v>0</v>
      </c>
      <c r="D885" s="1">
        <v>47.8829956054688</v>
      </c>
      <c r="E885" s="2">
        <v>46295.960451388892</v>
      </c>
      <c r="F885" s="1">
        <v>-900</v>
      </c>
      <c r="G885" s="1" t="s">
        <v>0</v>
      </c>
      <c r="H885" s="1">
        <v>8.7556457519531303</v>
      </c>
    </row>
    <row r="886" spans="1:8" ht="14.25" customHeight="1" x14ac:dyDescent="0.2">
      <c r="A886" s="2">
        <v>46295.960486111115</v>
      </c>
      <c r="B886" s="1">
        <v>-1000</v>
      </c>
      <c r="C886" s="1" t="s">
        <v>0</v>
      </c>
      <c r="D886" s="1">
        <v>47.875213623046903</v>
      </c>
      <c r="E886" s="2">
        <v>46295.960486111115</v>
      </c>
      <c r="F886" s="1">
        <v>-1000</v>
      </c>
      <c r="G886" s="1" t="s">
        <v>0</v>
      </c>
      <c r="H886" s="1">
        <v>8.6180114746093803</v>
      </c>
    </row>
    <row r="887" spans="1:8" ht="14.25" customHeight="1" x14ac:dyDescent="0.2">
      <c r="A887" s="2">
        <v>46295.960520833331</v>
      </c>
      <c r="B887" s="1">
        <v>-1100</v>
      </c>
      <c r="C887" s="1" t="s">
        <v>0</v>
      </c>
      <c r="D887" s="1">
        <v>47.8634643554688</v>
      </c>
      <c r="E887" s="2">
        <v>46295.960520833331</v>
      </c>
      <c r="F887" s="1">
        <v>-1100</v>
      </c>
      <c r="G887" s="1" t="s">
        <v>0</v>
      </c>
      <c r="H887" s="1">
        <v>8.84674072265625</v>
      </c>
    </row>
    <row r="888" spans="1:8" ht="14.25" customHeight="1" x14ac:dyDescent="0.2">
      <c r="A888" s="2">
        <v>46295.960555555554</v>
      </c>
      <c r="B888" s="1">
        <v>-1200</v>
      </c>
      <c r="C888" s="1" t="s">
        <v>0</v>
      </c>
      <c r="D888" s="1">
        <v>47.8570556640625</v>
      </c>
      <c r="E888" s="2">
        <v>46295.960555555554</v>
      </c>
      <c r="F888" s="1">
        <v>-1200</v>
      </c>
      <c r="G888" s="1" t="s">
        <v>0</v>
      </c>
      <c r="H888" s="1">
        <v>8.5276794433593803</v>
      </c>
    </row>
    <row r="889" spans="1:8" ht="14.25" customHeight="1" x14ac:dyDescent="0.2">
      <c r="A889" s="2">
        <v>46295.960590277777</v>
      </c>
      <c r="B889" s="1">
        <v>-1300</v>
      </c>
      <c r="C889" s="1" t="s">
        <v>0</v>
      </c>
      <c r="D889" s="1">
        <v>47.863922119140597</v>
      </c>
      <c r="E889" s="2">
        <v>46295.960590277777</v>
      </c>
      <c r="F889" s="1">
        <v>-1300</v>
      </c>
      <c r="G889" s="1" t="s">
        <v>0</v>
      </c>
      <c r="H889" s="1">
        <v>8.7896728515625</v>
      </c>
    </row>
    <row r="890" spans="1:8" ht="14.25" customHeight="1" x14ac:dyDescent="0.2">
      <c r="A890" s="2">
        <v>46295.960625</v>
      </c>
      <c r="B890" s="1">
        <v>-1400</v>
      </c>
      <c r="C890" s="1" t="s">
        <v>0</v>
      </c>
      <c r="D890" s="1">
        <v>47.8781127929688</v>
      </c>
      <c r="E890" s="2">
        <v>46295.960625</v>
      </c>
      <c r="F890" s="1">
        <v>-1400</v>
      </c>
      <c r="G890" s="1" t="s">
        <v>0</v>
      </c>
      <c r="H890" s="1">
        <v>8.9012145996093803</v>
      </c>
    </row>
    <row r="891" spans="1:8" ht="14.25" customHeight="1" x14ac:dyDescent="0.2">
      <c r="A891" s="2">
        <v>46295.960659722223</v>
      </c>
      <c r="B891" s="1">
        <v>-1500</v>
      </c>
      <c r="C891" s="1" t="s">
        <v>0</v>
      </c>
      <c r="D891" s="1">
        <v>47.8768920898438</v>
      </c>
      <c r="E891" s="2">
        <v>46295.960659722223</v>
      </c>
      <c r="F891" s="1">
        <v>-1500</v>
      </c>
      <c r="G891" s="1" t="s">
        <v>0</v>
      </c>
      <c r="H891" s="1">
        <v>9.02496337890625</v>
      </c>
    </row>
    <row r="892" spans="1:8" ht="14.25" customHeight="1" x14ac:dyDescent="0.2">
      <c r="A892" s="2">
        <v>46295.960694444446</v>
      </c>
      <c r="B892" s="1">
        <v>-1600</v>
      </c>
      <c r="C892" s="1" t="s">
        <v>0</v>
      </c>
      <c r="D892" s="1">
        <v>47.876739501953097</v>
      </c>
      <c r="E892" s="2">
        <v>46295.960694444446</v>
      </c>
      <c r="F892" s="1">
        <v>-1600</v>
      </c>
      <c r="G892" s="1" t="s">
        <v>0</v>
      </c>
      <c r="H892" s="1">
        <v>8.7788391113281303</v>
      </c>
    </row>
    <row r="893" spans="1:8" ht="14.25" customHeight="1" x14ac:dyDescent="0.2">
      <c r="A893" s="2">
        <v>46295.960729166669</v>
      </c>
      <c r="B893" s="1">
        <v>-1700</v>
      </c>
      <c r="C893" s="1" t="s">
        <v>0</v>
      </c>
      <c r="D893" s="1">
        <v>47.891998291015597</v>
      </c>
      <c r="E893" s="2">
        <v>46295.960729166669</v>
      </c>
      <c r="F893" s="1">
        <v>-1700</v>
      </c>
      <c r="G893" s="1" t="s">
        <v>0</v>
      </c>
      <c r="H893" s="1">
        <v>8.6042785644531303</v>
      </c>
    </row>
    <row r="894" spans="1:8" ht="14.25" customHeight="1" x14ac:dyDescent="0.2">
      <c r="A894" s="2">
        <v>46295.960763888892</v>
      </c>
      <c r="B894" s="1">
        <v>-1800</v>
      </c>
      <c r="C894" s="1" t="s">
        <v>0</v>
      </c>
      <c r="D894" s="1">
        <v>47.867584228515597</v>
      </c>
      <c r="E894" s="2">
        <v>46295.960763888892</v>
      </c>
      <c r="F894" s="1">
        <v>-1800</v>
      </c>
      <c r="G894" s="1" t="s">
        <v>0</v>
      </c>
      <c r="H894" s="1">
        <v>8.74664306640625</v>
      </c>
    </row>
    <row r="895" spans="1:8" ht="14.25" customHeight="1" x14ac:dyDescent="0.2">
      <c r="A895" s="2">
        <v>46295.960798611108</v>
      </c>
      <c r="B895" s="1">
        <v>-1900</v>
      </c>
      <c r="C895" s="1" t="s">
        <v>0</v>
      </c>
      <c r="D895" s="1">
        <v>47.882080078125</v>
      </c>
      <c r="E895" s="2">
        <v>46295.960798611108</v>
      </c>
      <c r="F895" s="1">
        <v>-1900</v>
      </c>
      <c r="G895" s="1" t="s">
        <v>0</v>
      </c>
      <c r="H895" s="1">
        <v>8.85589599609375</v>
      </c>
    </row>
    <row r="896" spans="1:8" ht="14.25" customHeight="1" x14ac:dyDescent="0.2">
      <c r="A896" s="2">
        <v>46295.960833333331</v>
      </c>
      <c r="B896" s="1">
        <v>-2000</v>
      </c>
      <c r="C896" s="1" t="s">
        <v>0</v>
      </c>
      <c r="D896" s="1">
        <v>47.895965576171903</v>
      </c>
      <c r="E896" s="2">
        <v>46295.960833333331</v>
      </c>
      <c r="F896" s="1">
        <v>-2000</v>
      </c>
      <c r="G896" s="1" t="s">
        <v>0</v>
      </c>
      <c r="H896" s="1">
        <v>8.6619567871093803</v>
      </c>
    </row>
    <row r="897" spans="1:8" ht="14.2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4.25" customHeight="1" x14ac:dyDescent="0.2">
      <c r="A898" s="2">
        <v>46295.968356481484</v>
      </c>
      <c r="B898" s="1">
        <v>-1000</v>
      </c>
      <c r="C898" s="1">
        <v>287.23712158203102</v>
      </c>
      <c r="D898" s="1">
        <v>62.3391723632813</v>
      </c>
      <c r="E898" s="2">
        <v>46295.968356481484</v>
      </c>
      <c r="F898" s="1">
        <v>-1000</v>
      </c>
      <c r="G898" s="1" t="s">
        <v>0</v>
      </c>
      <c r="H898" s="1">
        <v>-396.74011230468801</v>
      </c>
    </row>
    <row r="899" spans="1:8" ht="14.25" customHeight="1" x14ac:dyDescent="0.2">
      <c r="A899" s="2">
        <v>46295.968391203707</v>
      </c>
      <c r="B899" s="1">
        <v>-950</v>
      </c>
      <c r="C899" s="1">
        <v>284.76834106445301</v>
      </c>
      <c r="D899" s="1">
        <v>61.8203735351563</v>
      </c>
      <c r="E899" s="2">
        <v>46295.968391203707</v>
      </c>
      <c r="F899" s="1">
        <v>-950</v>
      </c>
      <c r="G899" s="1" t="s">
        <v>0</v>
      </c>
      <c r="H899" s="1">
        <v>-396.55685424804699</v>
      </c>
    </row>
    <row r="900" spans="1:8" ht="14.25" customHeight="1" x14ac:dyDescent="0.2">
      <c r="A900" s="2">
        <v>46295.968425925923</v>
      </c>
      <c r="B900" s="1">
        <v>-900</v>
      </c>
      <c r="C900" s="1">
        <v>264.42477416992199</v>
      </c>
      <c r="D900" s="1">
        <v>57.545318603515597</v>
      </c>
      <c r="E900" s="2">
        <v>46295.968425925923</v>
      </c>
      <c r="F900" s="1">
        <v>-900</v>
      </c>
      <c r="G900" s="1" t="s">
        <v>0</v>
      </c>
      <c r="H900" s="1">
        <v>-396.12136840820301</v>
      </c>
    </row>
    <row r="901" spans="1:8" ht="14.25" customHeight="1" x14ac:dyDescent="0.2">
      <c r="A901" s="2">
        <v>46295.968460648146</v>
      </c>
      <c r="B901" s="1">
        <v>-850</v>
      </c>
      <c r="C901" s="1">
        <v>273.18243408203102</v>
      </c>
      <c r="D901" s="1">
        <v>59.3856811523438</v>
      </c>
      <c r="E901" s="2">
        <v>46295.968460648146</v>
      </c>
      <c r="F901" s="1">
        <v>-850</v>
      </c>
      <c r="G901" s="1" t="s">
        <v>0</v>
      </c>
      <c r="H901" s="1">
        <v>-396.58523559570301</v>
      </c>
    </row>
    <row r="902" spans="1:8" ht="14.25" customHeight="1" x14ac:dyDescent="0.2">
      <c r="A902" s="2">
        <v>46295.968495370369</v>
      </c>
      <c r="B902" s="1">
        <v>-800</v>
      </c>
      <c r="C902" s="1">
        <v>286.17047119140602</v>
      </c>
      <c r="D902" s="1">
        <v>62.115020751953097</v>
      </c>
      <c r="E902" s="2">
        <v>46295.968495370369</v>
      </c>
      <c r="F902" s="1">
        <v>-800</v>
      </c>
      <c r="G902" s="1" t="s">
        <v>0</v>
      </c>
      <c r="H902" s="1">
        <v>-396.34460449218801</v>
      </c>
    </row>
    <row r="903" spans="1:8" ht="14.25" customHeight="1" x14ac:dyDescent="0.2">
      <c r="A903" s="2">
        <v>46295.968530092592</v>
      </c>
      <c r="B903" s="1">
        <v>-750</v>
      </c>
      <c r="C903" s="1">
        <v>285.14810180664102</v>
      </c>
      <c r="D903" s="1">
        <v>61.900177001953097</v>
      </c>
      <c r="E903" s="2">
        <v>46295.968530092592</v>
      </c>
      <c r="F903" s="1">
        <v>-750</v>
      </c>
      <c r="G903" s="1" t="s">
        <v>0</v>
      </c>
      <c r="H903" s="1">
        <v>-396.48284912109398</v>
      </c>
    </row>
    <row r="904" spans="1:8" ht="14.25" customHeight="1" x14ac:dyDescent="0.2">
      <c r="A904" s="2">
        <v>46295.968564814815</v>
      </c>
      <c r="B904" s="1">
        <v>-700</v>
      </c>
      <c r="C904" s="1">
        <v>287.00985717773398</v>
      </c>
      <c r="D904" s="1">
        <v>62.291412353515597</v>
      </c>
      <c r="E904" s="2">
        <v>46295.968564814815</v>
      </c>
      <c r="F904" s="1">
        <v>-700</v>
      </c>
      <c r="G904" s="1" t="s">
        <v>0</v>
      </c>
      <c r="H904" s="1">
        <v>-396.30203247070301</v>
      </c>
    </row>
    <row r="905" spans="1:8" ht="14.25" customHeight="1" x14ac:dyDescent="0.2">
      <c r="A905" s="2">
        <v>46295.968599537038</v>
      </c>
      <c r="B905" s="1">
        <v>-650</v>
      </c>
      <c r="C905" s="1">
        <v>279.76177978515602</v>
      </c>
      <c r="D905" s="1">
        <v>60.768280029296903</v>
      </c>
      <c r="E905" s="2">
        <v>46295.968599537038</v>
      </c>
      <c r="F905" s="1">
        <v>-650</v>
      </c>
      <c r="G905" s="1" t="s">
        <v>0</v>
      </c>
      <c r="H905" s="1">
        <v>-396.33636474609398</v>
      </c>
    </row>
    <row r="906" spans="1:8" ht="14.25" customHeight="1" x14ac:dyDescent="0.2">
      <c r="A906" s="2">
        <v>46295.968634259261</v>
      </c>
      <c r="B906" s="1">
        <v>-600</v>
      </c>
      <c r="C906" s="1">
        <v>268.23324584960898</v>
      </c>
      <c r="D906" s="1">
        <v>58.3456420898438</v>
      </c>
      <c r="E906" s="2">
        <v>46295.968634259261</v>
      </c>
      <c r="F906" s="1">
        <v>-600</v>
      </c>
      <c r="G906" s="1" t="s">
        <v>0</v>
      </c>
      <c r="H906" s="1">
        <v>-396.29989624023398</v>
      </c>
    </row>
    <row r="907" spans="1:8" ht="14.25" customHeight="1" x14ac:dyDescent="0.2">
      <c r="A907" s="2">
        <v>46295.968668981484</v>
      </c>
      <c r="B907" s="1">
        <v>-550</v>
      </c>
      <c r="C907" s="1">
        <v>268.23034667968801</v>
      </c>
      <c r="D907" s="1">
        <v>58.3450317382813</v>
      </c>
      <c r="E907" s="2">
        <v>46295.968668981484</v>
      </c>
      <c r="F907" s="1">
        <v>-550</v>
      </c>
      <c r="G907" s="1" t="s">
        <v>0</v>
      </c>
      <c r="H907" s="1">
        <v>-396.25</v>
      </c>
    </row>
    <row r="908" spans="1:8" ht="14.25" customHeight="1" x14ac:dyDescent="0.2">
      <c r="A908" s="2">
        <v>46295.9687037037</v>
      </c>
      <c r="B908" s="1">
        <v>-500</v>
      </c>
      <c r="C908" s="1">
        <v>281.06585693359398</v>
      </c>
      <c r="D908" s="1">
        <v>61.042327880859403</v>
      </c>
      <c r="E908" s="2">
        <v>46295.9687037037</v>
      </c>
      <c r="F908" s="1">
        <v>-500</v>
      </c>
      <c r="G908" s="1" t="s">
        <v>0</v>
      </c>
      <c r="H908" s="1">
        <v>-396.33239746093801</v>
      </c>
    </row>
    <row r="909" spans="1:8" ht="14.25" customHeight="1" x14ac:dyDescent="0.2">
      <c r="A909" s="2">
        <v>46295.968738425923</v>
      </c>
      <c r="B909" s="1">
        <v>-450</v>
      </c>
      <c r="C909" s="1">
        <v>255.84861755371099</v>
      </c>
      <c r="D909" s="1">
        <v>55.7431030273438</v>
      </c>
      <c r="E909" s="2">
        <v>46295.968738425923</v>
      </c>
      <c r="F909" s="1">
        <v>-450</v>
      </c>
      <c r="G909" s="1" t="s">
        <v>0</v>
      </c>
      <c r="H909" s="1">
        <v>-396.29455566406301</v>
      </c>
    </row>
    <row r="910" spans="1:8" ht="14.25" customHeight="1" x14ac:dyDescent="0.2">
      <c r="A910" s="2">
        <v>46295.968773148146</v>
      </c>
      <c r="B910" s="1">
        <v>-400</v>
      </c>
      <c r="C910" s="1">
        <v>255.66926574707</v>
      </c>
      <c r="D910" s="1">
        <v>55.705413818359403</v>
      </c>
      <c r="E910" s="2">
        <v>46295.968773148146</v>
      </c>
      <c r="F910" s="1">
        <v>-400</v>
      </c>
      <c r="G910" s="1" t="s">
        <v>0</v>
      </c>
      <c r="H910" s="1">
        <v>-396.35208129882801</v>
      </c>
    </row>
    <row r="911" spans="1:8" ht="14.25" customHeight="1" x14ac:dyDescent="0.2">
      <c r="A911" s="2">
        <v>46295.968807870369</v>
      </c>
      <c r="B911" s="1">
        <v>-350</v>
      </c>
      <c r="C911" s="1">
        <v>253.51052856445301</v>
      </c>
      <c r="D911" s="1">
        <v>55.2517700195313</v>
      </c>
      <c r="E911" s="2">
        <v>46295.968807870369</v>
      </c>
      <c r="F911" s="1">
        <v>-350</v>
      </c>
      <c r="G911" s="1" t="s">
        <v>0</v>
      </c>
      <c r="H911" s="1">
        <v>-396.32659912109398</v>
      </c>
    </row>
    <row r="912" spans="1:8" ht="14.25" customHeight="1" x14ac:dyDescent="0.2">
      <c r="A912" s="2">
        <v>46295.968842592592</v>
      </c>
      <c r="B912" s="1">
        <v>-300</v>
      </c>
      <c r="C912" s="1">
        <v>246.29512023925801</v>
      </c>
      <c r="D912" s="1">
        <v>53.735504150390597</v>
      </c>
      <c r="E912" s="2">
        <v>46295.968842592592</v>
      </c>
      <c r="F912" s="1">
        <v>-300</v>
      </c>
      <c r="G912" s="1" t="s">
        <v>0</v>
      </c>
      <c r="H912" s="1">
        <v>-396.37222290039102</v>
      </c>
    </row>
    <row r="913" spans="1:8" ht="14.25" customHeight="1" x14ac:dyDescent="0.2">
      <c r="A913" s="2">
        <v>46295.968877314815</v>
      </c>
      <c r="B913" s="1">
        <v>-250</v>
      </c>
      <c r="C913" s="1">
        <v>244.95689392089801</v>
      </c>
      <c r="D913" s="1">
        <v>53.4542846679688</v>
      </c>
      <c r="E913" s="2">
        <v>46295.968877314815</v>
      </c>
      <c r="F913" s="1">
        <v>-250</v>
      </c>
      <c r="G913" s="1" t="s">
        <v>0</v>
      </c>
      <c r="H913" s="1">
        <v>-396.38641357421898</v>
      </c>
    </row>
    <row r="914" spans="1:8" ht="14.25" customHeight="1" x14ac:dyDescent="0.2">
      <c r="A914" s="2">
        <v>46295.968912037039</v>
      </c>
      <c r="B914" s="1">
        <v>-200</v>
      </c>
      <c r="C914" s="1">
        <v>239.64971923828099</v>
      </c>
      <c r="D914" s="1">
        <v>52.339019775390597</v>
      </c>
      <c r="E914" s="2">
        <v>46295.968912037039</v>
      </c>
      <c r="F914" s="1">
        <v>-200</v>
      </c>
      <c r="G914" s="1" t="s">
        <v>0</v>
      </c>
      <c r="H914" s="1">
        <v>-396.26510620117199</v>
      </c>
    </row>
    <row r="915" spans="1:8" ht="14.25" customHeight="1" x14ac:dyDescent="0.2">
      <c r="A915" s="2">
        <v>46295.968946759262</v>
      </c>
      <c r="B915" s="1">
        <v>-150</v>
      </c>
      <c r="C915" s="1">
        <v>232.31523132324199</v>
      </c>
      <c r="D915" s="1">
        <v>50.7977294921875</v>
      </c>
      <c r="E915" s="2">
        <v>46295.968946759262</v>
      </c>
      <c r="F915" s="1">
        <v>-150</v>
      </c>
      <c r="G915" s="1" t="s">
        <v>0</v>
      </c>
      <c r="H915" s="1">
        <v>-396.39114379882801</v>
      </c>
    </row>
    <row r="916" spans="1:8" ht="14.25" customHeight="1" x14ac:dyDescent="0.2">
      <c r="A916" s="2">
        <v>46295.968981481485</v>
      </c>
      <c r="B916" s="1">
        <v>-100</v>
      </c>
      <c r="C916" s="1">
        <v>227.42483520507801</v>
      </c>
      <c r="D916" s="1">
        <v>49.770050048828097</v>
      </c>
      <c r="E916" s="2">
        <v>46295.968981481485</v>
      </c>
      <c r="F916" s="1">
        <v>-100</v>
      </c>
      <c r="G916" s="1" t="s">
        <v>0</v>
      </c>
      <c r="H916" s="1">
        <v>-396.52862548828102</v>
      </c>
    </row>
    <row r="917" spans="1:8" ht="14.25" customHeight="1" x14ac:dyDescent="0.2">
      <c r="A917" s="2">
        <v>46295.9690162037</v>
      </c>
      <c r="B917" s="1">
        <v>-50</v>
      </c>
      <c r="C917" s="1">
        <v>220.645095825195</v>
      </c>
      <c r="D917" s="1">
        <v>48.3453369140625</v>
      </c>
      <c r="E917" s="2">
        <v>46295.9690162037</v>
      </c>
      <c r="F917" s="1">
        <v>-50</v>
      </c>
      <c r="G917" s="1" t="s">
        <v>0</v>
      </c>
      <c r="H917" s="1">
        <v>-396.51184082031301</v>
      </c>
    </row>
    <row r="918" spans="1:8" ht="14.25" customHeight="1" x14ac:dyDescent="0.2">
      <c r="A918" s="2">
        <v>46295.969050925924</v>
      </c>
      <c r="B918" s="1">
        <v>0</v>
      </c>
      <c r="C918" s="1">
        <v>209.14561462402301</v>
      </c>
      <c r="D918" s="1">
        <v>45.928802490234403</v>
      </c>
      <c r="E918" s="2">
        <v>46295.969050925924</v>
      </c>
      <c r="F918" s="1">
        <v>0</v>
      </c>
      <c r="G918" s="1" t="s">
        <v>0</v>
      </c>
      <c r="H918" s="1">
        <v>-396.61636352539102</v>
      </c>
    </row>
    <row r="919" spans="1:8" ht="14.25" customHeight="1" x14ac:dyDescent="0.2">
      <c r="A919" s="2">
        <v>46295.969085648147</v>
      </c>
      <c r="B919" s="1">
        <v>50</v>
      </c>
      <c r="C919" s="1">
        <v>201.55625915527301</v>
      </c>
      <c r="D919" s="1">
        <v>44.333953857421903</v>
      </c>
      <c r="E919" s="2">
        <v>46295.969085648147</v>
      </c>
      <c r="F919" s="1">
        <v>50</v>
      </c>
      <c r="G919" s="1" t="s">
        <v>0</v>
      </c>
      <c r="H919" s="1">
        <v>-396.64749145507801</v>
      </c>
    </row>
    <row r="920" spans="1:8" ht="14.25" customHeight="1" x14ac:dyDescent="0.2">
      <c r="A920" s="2">
        <v>46295.96912037037</v>
      </c>
      <c r="B920" s="1">
        <v>100</v>
      </c>
      <c r="C920" s="1">
        <v>194.64073181152301</v>
      </c>
      <c r="D920" s="1">
        <v>42.880706787109403</v>
      </c>
      <c r="E920" s="2">
        <v>46295.96912037037</v>
      </c>
      <c r="F920" s="1">
        <v>100</v>
      </c>
      <c r="G920" s="1" t="s">
        <v>0</v>
      </c>
      <c r="H920" s="1">
        <v>-396.71585083007801</v>
      </c>
    </row>
    <row r="921" spans="1:8" ht="14.25" customHeight="1" x14ac:dyDescent="0.2">
      <c r="A921" s="2">
        <v>46295.969155092593</v>
      </c>
      <c r="B921" s="1">
        <v>150</v>
      </c>
      <c r="C921" s="1">
        <v>188.94871520996099</v>
      </c>
      <c r="D921" s="1">
        <v>41.6845703125</v>
      </c>
      <c r="E921" s="2">
        <v>46295.969155092593</v>
      </c>
      <c r="F921" s="1">
        <v>150</v>
      </c>
      <c r="G921" s="1" t="s">
        <v>0</v>
      </c>
      <c r="H921" s="1">
        <v>-396.70700073242199</v>
      </c>
    </row>
    <row r="922" spans="1:8" ht="14.25" customHeight="1" x14ac:dyDescent="0.2">
      <c r="A922" s="2">
        <v>46295.969189814816</v>
      </c>
      <c r="B922" s="1">
        <v>200</v>
      </c>
      <c r="C922" s="1">
        <v>182.52478027343801</v>
      </c>
      <c r="D922" s="1">
        <v>40.334625244140597</v>
      </c>
      <c r="E922" s="2">
        <v>46295.969189814816</v>
      </c>
      <c r="F922" s="1">
        <v>200</v>
      </c>
      <c r="G922" s="1" t="s">
        <v>0</v>
      </c>
      <c r="H922" s="1">
        <v>-394.85809326171898</v>
      </c>
    </row>
    <row r="923" spans="1:8" ht="14.25" customHeight="1" x14ac:dyDescent="0.2">
      <c r="A923" s="2">
        <v>46295.969236111108</v>
      </c>
      <c r="B923" s="1">
        <v>250</v>
      </c>
      <c r="C923" s="1">
        <v>173.90434265136699</v>
      </c>
      <c r="D923" s="1">
        <v>38.523101806640597</v>
      </c>
      <c r="E923" s="2">
        <v>46295.969236111108</v>
      </c>
      <c r="F923" s="1">
        <v>250</v>
      </c>
      <c r="G923" s="1" t="s">
        <v>0</v>
      </c>
      <c r="H923" s="1">
        <v>-396.70013427734398</v>
      </c>
    </row>
    <row r="924" spans="1:8" ht="14.25" customHeight="1" x14ac:dyDescent="0.2">
      <c r="A924" s="2">
        <v>46295.969270833331</v>
      </c>
      <c r="B924" s="1">
        <v>300</v>
      </c>
      <c r="C924" s="1">
        <v>165.09294128418</v>
      </c>
      <c r="D924" s="1">
        <v>36.6714477539063</v>
      </c>
      <c r="E924" s="2">
        <v>46295.969270833331</v>
      </c>
      <c r="F924" s="1">
        <v>300</v>
      </c>
      <c r="G924" s="1" t="s">
        <v>0</v>
      </c>
      <c r="H924" s="1">
        <v>-397.12799072265602</v>
      </c>
    </row>
    <row r="925" spans="1:8" ht="14.25" customHeight="1" x14ac:dyDescent="0.2">
      <c r="A925" s="2">
        <v>46295.969305555554</v>
      </c>
      <c r="B925" s="1">
        <v>350</v>
      </c>
      <c r="C925" s="1">
        <v>156.82466125488301</v>
      </c>
      <c r="D925" s="1">
        <v>34.933929443359403</v>
      </c>
      <c r="E925" s="2">
        <v>46295.969305555554</v>
      </c>
      <c r="F925" s="1">
        <v>350</v>
      </c>
      <c r="G925" s="1" t="s">
        <v>0</v>
      </c>
      <c r="H925" s="1">
        <v>-397.09167480468801</v>
      </c>
    </row>
    <row r="926" spans="1:8" ht="14.25" customHeight="1" x14ac:dyDescent="0.2">
      <c r="A926" s="2">
        <v>46295.969340277778</v>
      </c>
      <c r="B926" s="1">
        <v>400</v>
      </c>
      <c r="C926" s="1">
        <v>150.60111999511699</v>
      </c>
      <c r="D926" s="1">
        <v>33.6260986328125</v>
      </c>
      <c r="E926" s="2">
        <v>46295.969340277778</v>
      </c>
      <c r="F926" s="1">
        <v>400</v>
      </c>
      <c r="G926" s="1" t="s">
        <v>0</v>
      </c>
      <c r="H926" s="1">
        <v>-396.82662963867199</v>
      </c>
    </row>
    <row r="927" spans="1:8" ht="14.25" customHeight="1" x14ac:dyDescent="0.2">
      <c r="A927" s="2">
        <v>46295.969375000001</v>
      </c>
      <c r="B927" s="1">
        <v>450</v>
      </c>
      <c r="C927" s="1">
        <v>145.61416625976599</v>
      </c>
      <c r="D927" s="1">
        <v>32.578125</v>
      </c>
      <c r="E927" s="2">
        <v>46295.969375000001</v>
      </c>
      <c r="F927" s="1">
        <v>450</v>
      </c>
      <c r="G927" s="1" t="s">
        <v>0</v>
      </c>
      <c r="H927" s="1">
        <v>-396.64245605468801</v>
      </c>
    </row>
    <row r="928" spans="1:8" ht="14.25" customHeight="1" x14ac:dyDescent="0.2">
      <c r="A928" s="2">
        <v>46295.969409722224</v>
      </c>
      <c r="B928" s="1">
        <v>500</v>
      </c>
      <c r="C928" s="1">
        <v>142.02787780761699</v>
      </c>
      <c r="D928" s="1">
        <v>31.8244934082031</v>
      </c>
      <c r="E928" s="2">
        <v>46295.969409722224</v>
      </c>
      <c r="F928" s="1">
        <v>500</v>
      </c>
      <c r="G928" s="1" t="s">
        <v>0</v>
      </c>
      <c r="H928" s="1">
        <v>-396.865234375</v>
      </c>
    </row>
    <row r="929" spans="1:8" ht="14.25" customHeight="1" x14ac:dyDescent="0.2">
      <c r="A929" s="2">
        <v>46295.969444444447</v>
      </c>
      <c r="B929" s="1">
        <v>550</v>
      </c>
      <c r="C929" s="1">
        <v>139.45889282226599</v>
      </c>
      <c r="D929" s="1">
        <v>31.2846374511719</v>
      </c>
      <c r="E929" s="2">
        <v>46295.969444444447</v>
      </c>
      <c r="F929" s="1">
        <v>550</v>
      </c>
      <c r="G929" s="1" t="s">
        <v>0</v>
      </c>
      <c r="H929" s="1">
        <v>-397.08068847656301</v>
      </c>
    </row>
    <row r="930" spans="1:8" ht="14.25" customHeight="1" x14ac:dyDescent="0.2">
      <c r="A930" s="2">
        <v>46295.96947916667</v>
      </c>
      <c r="B930" s="1">
        <v>600</v>
      </c>
      <c r="C930" s="1">
        <v>135.07460021972699</v>
      </c>
      <c r="D930" s="1">
        <v>30.3633117675781</v>
      </c>
      <c r="E930" s="2">
        <v>46295.96947916667</v>
      </c>
      <c r="F930" s="1">
        <v>600</v>
      </c>
      <c r="G930" s="1" t="s">
        <v>0</v>
      </c>
      <c r="H930" s="1">
        <v>-397.64129638671898</v>
      </c>
    </row>
    <row r="931" spans="1:8" ht="14.25" customHeight="1" x14ac:dyDescent="0.2">
      <c r="A931" s="2">
        <v>46295.969513888886</v>
      </c>
      <c r="B931" s="1">
        <v>650</v>
      </c>
      <c r="C931" s="1">
        <v>128.18159484863301</v>
      </c>
      <c r="D931" s="1">
        <v>28.914794921875</v>
      </c>
      <c r="E931" s="2">
        <v>46295.969513888886</v>
      </c>
      <c r="F931" s="1">
        <v>650</v>
      </c>
      <c r="G931" s="1" t="s">
        <v>0</v>
      </c>
      <c r="H931" s="1">
        <v>-397.09808349609398</v>
      </c>
    </row>
    <row r="932" spans="1:8" ht="14.25" customHeight="1" x14ac:dyDescent="0.2">
      <c r="A932" s="2">
        <v>46295.969548611109</v>
      </c>
      <c r="B932" s="1">
        <v>700</v>
      </c>
      <c r="C932" s="1">
        <v>122.951385498047</v>
      </c>
      <c r="D932" s="1">
        <v>27.8157043457031</v>
      </c>
      <c r="E932" s="2">
        <v>46295.969548611109</v>
      </c>
      <c r="F932" s="1">
        <v>700</v>
      </c>
      <c r="G932" s="1" t="s">
        <v>0</v>
      </c>
      <c r="H932" s="1">
        <v>-397.29949951171898</v>
      </c>
    </row>
    <row r="933" spans="1:8" ht="14.25" customHeight="1" x14ac:dyDescent="0.2">
      <c r="A933" s="2">
        <v>46295.969583333332</v>
      </c>
      <c r="B933" s="1">
        <v>750</v>
      </c>
      <c r="C933" s="1">
        <v>115.961074829102</v>
      </c>
      <c r="D933" s="1">
        <v>26.3467407226563</v>
      </c>
      <c r="E933" s="2">
        <v>46295.969583333332</v>
      </c>
      <c r="F933" s="1">
        <v>750</v>
      </c>
      <c r="G933" s="1" t="s">
        <v>0</v>
      </c>
      <c r="H933" s="1">
        <v>-397.13928222656301</v>
      </c>
    </row>
    <row r="934" spans="1:8" ht="14.25" customHeight="1" x14ac:dyDescent="0.2">
      <c r="A934" s="2">
        <v>46295.969618055555</v>
      </c>
      <c r="B934" s="1">
        <v>800</v>
      </c>
      <c r="C934" s="1">
        <v>105.89276123046901</v>
      </c>
      <c r="D934" s="1">
        <v>24.23095703125</v>
      </c>
      <c r="E934" s="2">
        <v>46295.969618055555</v>
      </c>
      <c r="F934" s="1">
        <v>800</v>
      </c>
      <c r="G934" s="1" t="s">
        <v>0</v>
      </c>
      <c r="H934" s="1">
        <v>-397.178955078125</v>
      </c>
    </row>
    <row r="935" spans="1:8" ht="14.25" customHeight="1" x14ac:dyDescent="0.2">
      <c r="A935" s="2">
        <v>46295.969652777778</v>
      </c>
      <c r="B935" s="1">
        <v>850</v>
      </c>
      <c r="C935" s="1">
        <v>97.702186584472699</v>
      </c>
      <c r="D935" s="1">
        <v>22.509765625</v>
      </c>
      <c r="E935" s="2">
        <v>46295.969652777778</v>
      </c>
      <c r="F935" s="1">
        <v>850</v>
      </c>
      <c r="G935" s="1" t="s">
        <v>0</v>
      </c>
      <c r="H935" s="1">
        <v>-396.98059082031301</v>
      </c>
    </row>
    <row r="936" spans="1:8" ht="14.25" customHeight="1" x14ac:dyDescent="0.2">
      <c r="A936" s="2">
        <v>46295.969687500001</v>
      </c>
      <c r="B936" s="1">
        <v>900</v>
      </c>
      <c r="C936" s="1">
        <v>89.030914306640597</v>
      </c>
      <c r="D936" s="1">
        <v>20.6875610351563</v>
      </c>
      <c r="E936" s="2">
        <v>46295.969687500001</v>
      </c>
      <c r="F936" s="1">
        <v>900</v>
      </c>
      <c r="G936" s="1" t="s">
        <v>0</v>
      </c>
      <c r="H936" s="1">
        <v>-397.20230102539102</v>
      </c>
    </row>
    <row r="937" spans="1:8" ht="14.25" customHeight="1" x14ac:dyDescent="0.2">
      <c r="A937" s="2">
        <v>46295.969722222224</v>
      </c>
      <c r="B937" s="1">
        <v>950</v>
      </c>
      <c r="C937" s="1">
        <v>80.302284240722699</v>
      </c>
      <c r="D937" s="1">
        <v>18.8533020019531</v>
      </c>
      <c r="E937" s="2">
        <v>46295.969722222224</v>
      </c>
      <c r="F937" s="1">
        <v>950</v>
      </c>
      <c r="G937" s="1" t="s">
        <v>0</v>
      </c>
      <c r="H937" s="1">
        <v>-397.21511840820301</v>
      </c>
    </row>
    <row r="938" spans="1:8" ht="14.25" customHeight="1" x14ac:dyDescent="0.2">
      <c r="A938" s="2">
        <v>46295.969756944447</v>
      </c>
      <c r="B938" s="1">
        <v>1000</v>
      </c>
      <c r="C938" s="1">
        <v>71.713798522949205</v>
      </c>
      <c r="D938" s="1">
        <v>17.0484924316406</v>
      </c>
      <c r="E938" s="2">
        <v>46295.969756944447</v>
      </c>
      <c r="F938" s="1">
        <v>1000</v>
      </c>
      <c r="G938" s="1" t="s">
        <v>0</v>
      </c>
      <c r="H938" s="1">
        <v>-397.33566284179699</v>
      </c>
    </row>
    <row r="939" spans="1:8" ht="14.25" customHeight="1" x14ac:dyDescent="0.2">
      <c r="A939" s="2">
        <v>46295.96979166667</v>
      </c>
      <c r="B939" s="1">
        <v>1050</v>
      </c>
      <c r="C939" s="1">
        <v>62.875522613525398</v>
      </c>
      <c r="D939" s="1">
        <v>15.1911926269531</v>
      </c>
      <c r="E939" s="2">
        <v>46295.96979166667</v>
      </c>
      <c r="F939" s="1">
        <v>1050</v>
      </c>
      <c r="G939" s="1" t="s">
        <v>0</v>
      </c>
      <c r="H939" s="1">
        <v>-397.36190795898398</v>
      </c>
    </row>
    <row r="940" spans="1:8" ht="14.25" customHeight="1" x14ac:dyDescent="0.2">
      <c r="A940" s="2">
        <v>46295.969826388886</v>
      </c>
      <c r="B940" s="1">
        <v>1100</v>
      </c>
      <c r="C940" s="1">
        <v>55.874320983886697</v>
      </c>
      <c r="D940" s="1">
        <v>13.7199401855469</v>
      </c>
      <c r="E940" s="2">
        <v>46295.969826388886</v>
      </c>
      <c r="F940" s="1">
        <v>1100</v>
      </c>
      <c r="G940" s="1" t="s">
        <v>0</v>
      </c>
      <c r="H940" s="1">
        <v>-397.55554199218801</v>
      </c>
    </row>
    <row r="941" spans="1:8" ht="14.25" customHeight="1" x14ac:dyDescent="0.2">
      <c r="A941" s="2">
        <v>46295.969861111109</v>
      </c>
      <c r="B941" s="1">
        <v>1150</v>
      </c>
      <c r="C941" s="1">
        <v>49.527347564697301</v>
      </c>
      <c r="D941" s="1">
        <v>12.3861694335938</v>
      </c>
      <c r="E941" s="2">
        <v>46295.969861111109</v>
      </c>
      <c r="F941" s="1">
        <v>1150</v>
      </c>
      <c r="G941" s="1" t="s">
        <v>0</v>
      </c>
      <c r="H941" s="1">
        <v>-397.34359741210898</v>
      </c>
    </row>
    <row r="942" spans="1:8" ht="14.25" customHeight="1" x14ac:dyDescent="0.2">
      <c r="A942" s="2">
        <v>46295.969895833332</v>
      </c>
      <c r="B942" s="1">
        <v>1200</v>
      </c>
      <c r="C942" s="1">
        <v>43.4679145812988</v>
      </c>
      <c r="D942" s="1">
        <v>11.1128234863281</v>
      </c>
      <c r="E942" s="2">
        <v>46295.969895833332</v>
      </c>
      <c r="F942" s="1">
        <v>1200</v>
      </c>
      <c r="G942" s="1" t="s">
        <v>0</v>
      </c>
      <c r="H942" s="1">
        <v>-397.46322631835898</v>
      </c>
    </row>
    <row r="943" spans="1:8" ht="14.25" customHeight="1" x14ac:dyDescent="0.2">
      <c r="A943" s="2">
        <v>46295.969930555555</v>
      </c>
      <c r="B943" s="1">
        <v>1250</v>
      </c>
      <c r="C943" s="1">
        <v>37.947261810302699</v>
      </c>
      <c r="D943" s="1">
        <v>9.95269775390625</v>
      </c>
      <c r="E943" s="2">
        <v>46295.969930555555</v>
      </c>
      <c r="F943" s="1">
        <v>1250</v>
      </c>
      <c r="G943" s="1" t="s">
        <v>0</v>
      </c>
      <c r="H943" s="1">
        <v>-397.52990722656301</v>
      </c>
    </row>
    <row r="944" spans="1:8" ht="14.25" customHeight="1" x14ac:dyDescent="0.2">
      <c r="A944" s="2">
        <v>46295.969965277778</v>
      </c>
      <c r="B944" s="1">
        <v>1300</v>
      </c>
      <c r="C944" s="1">
        <v>31.905258178710898</v>
      </c>
      <c r="D944" s="1">
        <v>8.6830139160156303</v>
      </c>
      <c r="E944" s="2">
        <v>46295.969965277778</v>
      </c>
      <c r="F944" s="1">
        <v>1300</v>
      </c>
      <c r="G944" s="1" t="s">
        <v>0</v>
      </c>
      <c r="H944" s="1">
        <v>-397.418212890625</v>
      </c>
    </row>
    <row r="945" spans="1:8" ht="14.25" customHeight="1" x14ac:dyDescent="0.2">
      <c r="A945" s="2">
        <v>46295.97</v>
      </c>
      <c r="B945" s="1">
        <v>1350</v>
      </c>
      <c r="C945" s="1">
        <v>27.268287658691399</v>
      </c>
      <c r="D945" s="1">
        <v>7.7085876464843803</v>
      </c>
      <c r="E945" s="2">
        <v>46295.97</v>
      </c>
      <c r="F945" s="1">
        <v>1350</v>
      </c>
      <c r="G945" s="1" t="s">
        <v>0</v>
      </c>
      <c r="H945" s="1">
        <v>-397.48474121093801</v>
      </c>
    </row>
    <row r="946" spans="1:8" ht="14.25" customHeight="1" x14ac:dyDescent="0.2">
      <c r="A946" s="2">
        <v>46295.970034722224</v>
      </c>
      <c r="B946" s="1">
        <v>1400</v>
      </c>
      <c r="C946" s="1">
        <v>22.3851623535156</v>
      </c>
      <c r="D946" s="1">
        <v>6.68243408203125</v>
      </c>
      <c r="E946" s="2">
        <v>46295.970034722224</v>
      </c>
      <c r="F946" s="1">
        <v>1400</v>
      </c>
      <c r="G946" s="1" t="s">
        <v>0</v>
      </c>
      <c r="H946" s="1">
        <v>-397.53921508789102</v>
      </c>
    </row>
    <row r="947" spans="1:8" ht="14.25" customHeight="1" x14ac:dyDescent="0.2">
      <c r="A947" s="2">
        <v>46295.970069444447</v>
      </c>
      <c r="B947" s="1">
        <v>1450</v>
      </c>
      <c r="C947" s="1">
        <v>17.477350234985401</v>
      </c>
      <c r="D947" s="1">
        <v>5.6510925292968803</v>
      </c>
      <c r="E947" s="2">
        <v>46295.970069444447</v>
      </c>
      <c r="F947" s="1">
        <v>1450</v>
      </c>
      <c r="G947" s="1" t="s">
        <v>0</v>
      </c>
      <c r="H947" s="1">
        <v>-397.66983032226602</v>
      </c>
    </row>
    <row r="948" spans="1:8" ht="14.25" customHeight="1" x14ac:dyDescent="0.2">
      <c r="A948" s="2">
        <v>46295.970104166663</v>
      </c>
      <c r="B948" s="1">
        <v>1500</v>
      </c>
      <c r="C948" s="1">
        <v>11.934912681579601</v>
      </c>
      <c r="D948" s="1">
        <v>4.48638916015625</v>
      </c>
      <c r="E948" s="2">
        <v>46295.970104166663</v>
      </c>
      <c r="F948" s="1">
        <v>1500</v>
      </c>
      <c r="G948" s="1" t="s">
        <v>0</v>
      </c>
      <c r="H948" s="1">
        <v>-397.78167724609398</v>
      </c>
    </row>
    <row r="949" spans="1:8" ht="14.25" customHeight="1" x14ac:dyDescent="0.2">
      <c r="A949" s="2">
        <v>46295.970138888886</v>
      </c>
      <c r="B949" s="1">
        <v>1550</v>
      </c>
      <c r="C949" s="1">
        <v>8.2157506942749006</v>
      </c>
      <c r="D949" s="1">
        <v>3.704833984375</v>
      </c>
      <c r="E949" s="2">
        <v>46295.970138888886</v>
      </c>
      <c r="F949" s="1">
        <v>1550</v>
      </c>
      <c r="G949" s="1" t="s">
        <v>0</v>
      </c>
      <c r="H949" s="1">
        <v>-397.784423828125</v>
      </c>
    </row>
    <row r="950" spans="1:8" ht="14.25" customHeight="1" x14ac:dyDescent="0.2">
      <c r="A950" s="2">
        <v>46295.970173611109</v>
      </c>
      <c r="B950" s="1">
        <v>1600</v>
      </c>
      <c r="C950" s="1">
        <v>4.9649333953857404</v>
      </c>
      <c r="D950" s="1">
        <v>3.0216979980468799</v>
      </c>
      <c r="E950" s="2">
        <v>46295.970173611109</v>
      </c>
      <c r="F950" s="1">
        <v>1600</v>
      </c>
      <c r="G950" s="1" t="s">
        <v>0</v>
      </c>
      <c r="H950" s="1">
        <v>-397.738037109375</v>
      </c>
    </row>
    <row r="951" spans="1:8" ht="14.25" customHeight="1" x14ac:dyDescent="0.2">
      <c r="A951" s="2">
        <v>46295.970208333332</v>
      </c>
      <c r="B951" s="1">
        <v>1650</v>
      </c>
      <c r="C951" s="1">
        <v>2.8105494976043701</v>
      </c>
      <c r="D951" s="1">
        <v>2.5689697265625</v>
      </c>
      <c r="E951" s="2">
        <v>46295.970208333332</v>
      </c>
      <c r="F951" s="1">
        <v>1650</v>
      </c>
      <c r="G951" s="1" t="s">
        <v>0</v>
      </c>
      <c r="H951" s="1">
        <v>-397.68966674804699</v>
      </c>
    </row>
    <row r="952" spans="1:8" ht="14.25" customHeight="1" x14ac:dyDescent="0.2">
      <c r="A952" s="2">
        <v>46295.970243055555</v>
      </c>
      <c r="B952" s="1">
        <v>1700</v>
      </c>
      <c r="C952" s="1">
        <v>1.4236695766448999</v>
      </c>
      <c r="D952" s="1">
        <v>2.27752685546875</v>
      </c>
      <c r="E952" s="2">
        <v>46295.970243055555</v>
      </c>
      <c r="F952" s="1">
        <v>1700</v>
      </c>
      <c r="G952" s="1" t="s">
        <v>0</v>
      </c>
      <c r="H952" s="1">
        <v>-397.73162841796898</v>
      </c>
    </row>
    <row r="953" spans="1:8" ht="14.25" customHeight="1" x14ac:dyDescent="0.2">
      <c r="A953" s="2">
        <v>46295.970277777778</v>
      </c>
      <c r="B953" s="1">
        <v>1750</v>
      </c>
      <c r="C953" s="1">
        <v>0.74838250875473</v>
      </c>
      <c r="D953" s="1">
        <v>2.1356201171875</v>
      </c>
      <c r="E953" s="2">
        <v>46295.970277777778</v>
      </c>
      <c r="F953" s="1">
        <v>1750</v>
      </c>
      <c r="G953" s="1" t="s">
        <v>0</v>
      </c>
      <c r="H953" s="1">
        <v>-397.61993408203102</v>
      </c>
    </row>
    <row r="954" spans="1:8" ht="14.25" customHeight="1" x14ac:dyDescent="0.2">
      <c r="A954" s="2">
        <v>46295.970312500001</v>
      </c>
      <c r="B954" s="1">
        <v>1800</v>
      </c>
      <c r="C954" s="1">
        <v>0.34611469507217402</v>
      </c>
      <c r="D954" s="1">
        <v>2.05108642578125</v>
      </c>
      <c r="E954" s="2">
        <v>46295.970312500001</v>
      </c>
      <c r="F954" s="1">
        <v>1800</v>
      </c>
      <c r="G954" s="1" t="s">
        <v>0</v>
      </c>
      <c r="H954" s="1">
        <v>-397.67761230468801</v>
      </c>
    </row>
    <row r="955" spans="1:8" ht="14.25" customHeight="1" x14ac:dyDescent="0.2">
      <c r="A955" s="2">
        <v>46295.970347222225</v>
      </c>
      <c r="B955" s="1">
        <v>1850</v>
      </c>
      <c r="C955" s="1">
        <v>0.15805087983608199</v>
      </c>
      <c r="D955" s="1">
        <v>2.0115661621093799</v>
      </c>
      <c r="E955" s="2">
        <v>46295.970347222225</v>
      </c>
      <c r="F955" s="1">
        <v>1850</v>
      </c>
      <c r="G955" s="1" t="s">
        <v>0</v>
      </c>
      <c r="H955" s="1">
        <v>-397.92129516601602</v>
      </c>
    </row>
    <row r="956" spans="1:8" ht="14.25" customHeight="1" x14ac:dyDescent="0.2">
      <c r="A956" s="2">
        <v>46295.970381944448</v>
      </c>
      <c r="B956" s="1">
        <v>1900</v>
      </c>
      <c r="C956" s="1">
        <v>4.3324682861566502E-2</v>
      </c>
      <c r="D956" s="1">
        <v>1.9874572753906301</v>
      </c>
      <c r="E956" s="2">
        <v>46295.970381944448</v>
      </c>
      <c r="F956" s="1">
        <v>1900</v>
      </c>
      <c r="G956" s="1" t="s">
        <v>0</v>
      </c>
      <c r="H956" s="1">
        <v>-397.74459838867199</v>
      </c>
    </row>
    <row r="957" spans="1:8" ht="14.25" customHeight="1" x14ac:dyDescent="0.2">
      <c r="A957" s="2">
        <v>46295.970416666663</v>
      </c>
      <c r="B957" s="1">
        <v>1950</v>
      </c>
      <c r="C957" s="1">
        <v>1.21017303317785E-2</v>
      </c>
      <c r="D957" s="1">
        <v>1.98089599609375</v>
      </c>
      <c r="E957" s="2">
        <v>46295.970416666663</v>
      </c>
      <c r="F957" s="1">
        <v>1950</v>
      </c>
      <c r="G957" s="1" t="s">
        <v>0</v>
      </c>
      <c r="H957" s="1">
        <v>-397.76763916015602</v>
      </c>
    </row>
    <row r="958" spans="1:8" ht="14.25" customHeight="1" x14ac:dyDescent="0.2">
      <c r="A958" s="2">
        <v>46295.970451388886</v>
      </c>
      <c r="B958" s="1">
        <v>2000</v>
      </c>
      <c r="C958" s="1">
        <v>-6.4866475760936695E-2</v>
      </c>
      <c r="D958" s="1">
        <v>1.9647216796875</v>
      </c>
      <c r="E958" s="2">
        <v>46295.970451388886</v>
      </c>
      <c r="F958" s="1">
        <v>2000</v>
      </c>
      <c r="G958" s="1" t="s">
        <v>0</v>
      </c>
      <c r="H958" s="1">
        <v>-397.454833984375</v>
      </c>
    </row>
    <row r="959" spans="1:8" ht="14.2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4.25" customHeight="1" x14ac:dyDescent="0.2">
      <c r="A960" s="2">
        <v>46295.972303240742</v>
      </c>
      <c r="B960" s="1">
        <v>-1500</v>
      </c>
      <c r="C960" s="1">
        <v>282.19570922851602</v>
      </c>
      <c r="D960" s="1">
        <v>61.279754638671903</v>
      </c>
      <c r="E960" s="2">
        <v>46295.972303240742</v>
      </c>
      <c r="F960" s="1">
        <v>-1500</v>
      </c>
      <c r="G960" s="1" t="s">
        <v>0</v>
      </c>
      <c r="H960" s="1">
        <v>-397.76306152343801</v>
      </c>
    </row>
    <row r="961" spans="1:8" ht="14.25" customHeight="1" x14ac:dyDescent="0.2">
      <c r="A961" s="2">
        <v>46295.972337962965</v>
      </c>
      <c r="B961" s="1">
        <v>-1450</v>
      </c>
      <c r="C961" s="1">
        <v>282.02072143554699</v>
      </c>
      <c r="D961" s="1">
        <v>61.2429809570313</v>
      </c>
      <c r="E961" s="2">
        <v>46295.972337962965</v>
      </c>
      <c r="F961" s="1">
        <v>-1450</v>
      </c>
      <c r="G961" s="1" t="s">
        <v>0</v>
      </c>
      <c r="H961" s="1">
        <v>-398.52798461914102</v>
      </c>
    </row>
    <row r="962" spans="1:8" ht="14.25" customHeight="1" x14ac:dyDescent="0.2">
      <c r="A962" s="2">
        <v>46295.972372685188</v>
      </c>
      <c r="B962" s="1">
        <v>-1400</v>
      </c>
      <c r="C962" s="1">
        <v>281.35559082031301</v>
      </c>
      <c r="D962" s="1">
        <v>61.1032104492188</v>
      </c>
      <c r="E962" s="2">
        <v>46295.972372685188</v>
      </c>
      <c r="F962" s="1">
        <v>-1400</v>
      </c>
      <c r="G962" s="1" t="s">
        <v>0</v>
      </c>
      <c r="H962" s="1">
        <v>-397.28042602539102</v>
      </c>
    </row>
    <row r="963" spans="1:8" ht="14.25" customHeight="1" x14ac:dyDescent="0.2">
      <c r="A963" s="2">
        <v>46295.972407407404</v>
      </c>
      <c r="B963" s="1">
        <v>-1350</v>
      </c>
      <c r="C963" s="1">
        <v>280.31216430664102</v>
      </c>
      <c r="D963" s="1">
        <v>60.883941650390597</v>
      </c>
      <c r="E963" s="2">
        <v>46295.972407407404</v>
      </c>
      <c r="F963" s="1">
        <v>-1350</v>
      </c>
      <c r="G963" s="1" t="s">
        <v>0</v>
      </c>
      <c r="H963" s="1">
        <v>-398.94104003906301</v>
      </c>
    </row>
    <row r="964" spans="1:8" ht="14.25" customHeight="1" x14ac:dyDescent="0.2">
      <c r="A964" s="2">
        <v>46295.972442129627</v>
      </c>
      <c r="B964" s="1">
        <v>-1300</v>
      </c>
      <c r="C964" s="1">
        <v>279.83654785156301</v>
      </c>
      <c r="D964" s="1">
        <v>60.7839965820313</v>
      </c>
      <c r="E964" s="2">
        <v>46295.972442129627</v>
      </c>
      <c r="F964" s="1">
        <v>-1300</v>
      </c>
      <c r="G964" s="1" t="s">
        <v>0</v>
      </c>
      <c r="H964" s="1">
        <v>-398.58062744140602</v>
      </c>
    </row>
    <row r="965" spans="1:8" ht="14.25" customHeight="1" x14ac:dyDescent="0.2">
      <c r="A965" s="2">
        <v>46295.97247685185</v>
      </c>
      <c r="B965" s="1">
        <v>-1250</v>
      </c>
      <c r="C965" s="1">
        <v>278.77496337890602</v>
      </c>
      <c r="D965" s="1">
        <v>60.5609130859375</v>
      </c>
      <c r="E965" s="2">
        <v>46295.97247685185</v>
      </c>
      <c r="F965" s="1">
        <v>-1250</v>
      </c>
      <c r="G965" s="1" t="s">
        <v>0</v>
      </c>
      <c r="H965" s="1">
        <v>-398.68103027343801</v>
      </c>
    </row>
    <row r="966" spans="1:8" ht="14.25" customHeight="1" x14ac:dyDescent="0.2">
      <c r="A966" s="2">
        <v>46295.972511574073</v>
      </c>
      <c r="B966" s="1">
        <v>-1200</v>
      </c>
      <c r="C966" s="1">
        <v>277.76568603515602</v>
      </c>
      <c r="D966" s="1">
        <v>60.3488159179688</v>
      </c>
      <c r="E966" s="2">
        <v>46295.972511574073</v>
      </c>
      <c r="F966" s="1">
        <v>-1200</v>
      </c>
      <c r="G966" s="1" t="s">
        <v>0</v>
      </c>
      <c r="H966" s="1">
        <v>-398.56201171875</v>
      </c>
    </row>
    <row r="967" spans="1:8" ht="14.25" customHeight="1" x14ac:dyDescent="0.2">
      <c r="A967" s="2">
        <v>46295.972546296296</v>
      </c>
      <c r="B967" s="1">
        <v>-1150</v>
      </c>
      <c r="C967" s="1">
        <v>276.45938110351602</v>
      </c>
      <c r="D967" s="1">
        <v>60.074310302734403</v>
      </c>
      <c r="E967" s="2">
        <v>46295.972546296296</v>
      </c>
      <c r="F967" s="1">
        <v>-1150</v>
      </c>
      <c r="G967" s="1" t="s">
        <v>0</v>
      </c>
      <c r="H967" s="1">
        <v>-398.48937988281301</v>
      </c>
    </row>
    <row r="968" spans="1:8" ht="14.25" customHeight="1" x14ac:dyDescent="0.2">
      <c r="A968" s="2">
        <v>46295.972581018519</v>
      </c>
      <c r="B968" s="1">
        <v>-1100</v>
      </c>
      <c r="C968" s="1">
        <v>274.77554321289102</v>
      </c>
      <c r="D968" s="1">
        <v>59.720458984375</v>
      </c>
      <c r="E968" s="2">
        <v>46295.972581018519</v>
      </c>
      <c r="F968" s="1">
        <v>-1100</v>
      </c>
      <c r="G968" s="1" t="s">
        <v>0</v>
      </c>
      <c r="H968" s="1">
        <v>-398.76754760742199</v>
      </c>
    </row>
    <row r="969" spans="1:8" ht="14.25" customHeight="1" x14ac:dyDescent="0.2">
      <c r="A969" s="2">
        <v>46295.972615740742</v>
      </c>
      <c r="B969" s="1">
        <v>-1050</v>
      </c>
      <c r="C969" s="1">
        <v>273.27902221679699</v>
      </c>
      <c r="D969" s="1">
        <v>59.405975341796903</v>
      </c>
      <c r="E969" s="2">
        <v>46295.972615740742</v>
      </c>
      <c r="F969" s="1">
        <v>-1050</v>
      </c>
      <c r="G969" s="1" t="s">
        <v>0</v>
      </c>
      <c r="H969" s="1">
        <v>-399.04129028320301</v>
      </c>
    </row>
    <row r="970" spans="1:8" ht="14.25" customHeight="1" x14ac:dyDescent="0.2">
      <c r="A970" s="2">
        <v>46295.972650462965</v>
      </c>
      <c r="B970" s="1">
        <v>-1000</v>
      </c>
      <c r="C970" s="1">
        <v>271.38311767578102</v>
      </c>
      <c r="D970" s="1">
        <v>59.007568359375</v>
      </c>
      <c r="E970" s="2">
        <v>46295.972650462965</v>
      </c>
      <c r="F970" s="1">
        <v>-1000</v>
      </c>
      <c r="G970" s="1" t="s">
        <v>0</v>
      </c>
      <c r="H970" s="1">
        <v>-398.93569946289102</v>
      </c>
    </row>
    <row r="971" spans="1:8" ht="14.25" customHeight="1" x14ac:dyDescent="0.2">
      <c r="A971" s="2">
        <v>46295.972685185188</v>
      </c>
      <c r="B971" s="1">
        <v>-950</v>
      </c>
      <c r="C971" s="1">
        <v>269.01525878906301</v>
      </c>
      <c r="D971" s="1">
        <v>58.509979248046903</v>
      </c>
      <c r="E971" s="2">
        <v>46295.972685185188</v>
      </c>
      <c r="F971" s="1">
        <v>-950</v>
      </c>
      <c r="G971" s="1" t="s">
        <v>0</v>
      </c>
      <c r="H971" s="1">
        <v>-399.97299194335898</v>
      </c>
    </row>
    <row r="972" spans="1:8" ht="14.25" customHeight="1" x14ac:dyDescent="0.2">
      <c r="A972" s="2">
        <v>46295.972719907404</v>
      </c>
      <c r="B972" s="1">
        <v>-900</v>
      </c>
      <c r="C972" s="1">
        <v>266.70983886718801</v>
      </c>
      <c r="D972" s="1">
        <v>58.0255126953125</v>
      </c>
      <c r="E972" s="2">
        <v>46295.972719907404</v>
      </c>
      <c r="F972" s="1">
        <v>-900</v>
      </c>
      <c r="G972" s="1" t="s">
        <v>0</v>
      </c>
      <c r="H972" s="1">
        <v>-398.73992919921898</v>
      </c>
    </row>
    <row r="973" spans="1:8" ht="14.25" customHeight="1" x14ac:dyDescent="0.2">
      <c r="A973" s="2">
        <v>46295.972754629627</v>
      </c>
      <c r="B973" s="1">
        <v>-850</v>
      </c>
      <c r="C973" s="1">
        <v>263.82571411132801</v>
      </c>
      <c r="D973" s="1">
        <v>57.41943359375</v>
      </c>
      <c r="E973" s="2">
        <v>46295.972754629627</v>
      </c>
      <c r="F973" s="1">
        <v>-850</v>
      </c>
      <c r="G973" s="1" t="s">
        <v>0</v>
      </c>
      <c r="H973" s="1">
        <v>-398.88626098632801</v>
      </c>
    </row>
    <row r="974" spans="1:8" ht="14.25" customHeight="1" x14ac:dyDescent="0.2">
      <c r="A974" s="2">
        <v>46295.97278935185</v>
      </c>
      <c r="B974" s="1">
        <v>-800</v>
      </c>
      <c r="C974" s="1">
        <v>261.11151123046898</v>
      </c>
      <c r="D974" s="1">
        <v>56.8490600585938</v>
      </c>
      <c r="E974" s="2">
        <v>46295.97278935185</v>
      </c>
      <c r="F974" s="1">
        <v>-800</v>
      </c>
      <c r="G974" s="1" t="s">
        <v>0</v>
      </c>
      <c r="H974" s="1">
        <v>-400.71990966796898</v>
      </c>
    </row>
    <row r="975" spans="1:8" ht="14.25" customHeight="1" x14ac:dyDescent="0.2">
      <c r="A975" s="2">
        <v>46295.972824074073</v>
      </c>
      <c r="B975" s="1">
        <v>-750</v>
      </c>
      <c r="C975" s="1">
        <v>257.81784057617199</v>
      </c>
      <c r="D975" s="1">
        <v>56.1569213867188</v>
      </c>
      <c r="E975" s="2">
        <v>46295.972824074073</v>
      </c>
      <c r="F975" s="1">
        <v>-750</v>
      </c>
      <c r="G975" s="1" t="s">
        <v>0</v>
      </c>
      <c r="H975" s="1">
        <v>-399.61380004882801</v>
      </c>
    </row>
    <row r="976" spans="1:8" ht="14.25" customHeight="1" x14ac:dyDescent="0.2">
      <c r="A976" s="2">
        <v>46295.972858796296</v>
      </c>
      <c r="B976" s="1">
        <v>-700</v>
      </c>
      <c r="C976" s="1">
        <v>254.38186645507801</v>
      </c>
      <c r="D976" s="1">
        <v>55.4348754882813</v>
      </c>
      <c r="E976" s="2">
        <v>46295.972858796296</v>
      </c>
      <c r="F976" s="1">
        <v>-700</v>
      </c>
      <c r="G976" s="1" t="s">
        <v>0</v>
      </c>
      <c r="H976" s="1">
        <v>-399.40170288085898</v>
      </c>
    </row>
    <row r="977" spans="1:8" ht="14.25" customHeight="1" x14ac:dyDescent="0.2">
      <c r="A977" s="2">
        <v>46295.972893518519</v>
      </c>
      <c r="B977" s="1">
        <v>-650</v>
      </c>
      <c r="C977" s="1">
        <v>250.654708862305</v>
      </c>
      <c r="D977" s="1">
        <v>54.651641845703097</v>
      </c>
      <c r="E977" s="2">
        <v>46295.972893518519</v>
      </c>
      <c r="F977" s="1">
        <v>-650</v>
      </c>
      <c r="G977" s="1" t="s">
        <v>0</v>
      </c>
      <c r="H977" s="1">
        <v>-398.71795654296898</v>
      </c>
    </row>
    <row r="978" spans="1:8" ht="14.25" customHeight="1" x14ac:dyDescent="0.2">
      <c r="A978" s="2">
        <v>46295.972928240742</v>
      </c>
      <c r="B978" s="1">
        <v>-600</v>
      </c>
      <c r="C978" s="1">
        <v>246.68359375</v>
      </c>
      <c r="D978" s="1">
        <v>53.817138671875</v>
      </c>
      <c r="E978" s="2">
        <v>46295.972928240742</v>
      </c>
      <c r="F978" s="1">
        <v>-600</v>
      </c>
      <c r="G978" s="1" t="s">
        <v>0</v>
      </c>
      <c r="H978" s="1">
        <v>-398.72711181640602</v>
      </c>
    </row>
    <row r="979" spans="1:8" ht="14.25" customHeight="1" x14ac:dyDescent="0.2">
      <c r="A979" s="2">
        <v>46295.972962962966</v>
      </c>
      <c r="B979" s="1">
        <v>-550</v>
      </c>
      <c r="C979" s="1">
        <v>242.43145751953099</v>
      </c>
      <c r="D979" s="1">
        <v>52.923583984375</v>
      </c>
      <c r="E979" s="2">
        <v>46295.972962962966</v>
      </c>
      <c r="F979" s="1">
        <v>-550</v>
      </c>
      <c r="G979" s="1" t="s">
        <v>0</v>
      </c>
      <c r="H979" s="1">
        <v>-398.54476928710898</v>
      </c>
    </row>
    <row r="980" spans="1:8" ht="14.25" customHeight="1" x14ac:dyDescent="0.2">
      <c r="A980" s="2">
        <v>46295.972997685189</v>
      </c>
      <c r="B980" s="1">
        <v>-500</v>
      </c>
      <c r="C980" s="1">
        <v>237.81918334960901</v>
      </c>
      <c r="D980" s="1">
        <v>51.954345703125</v>
      </c>
      <c r="E980" s="2">
        <v>46295.972997685189</v>
      </c>
      <c r="F980" s="1">
        <v>-500</v>
      </c>
      <c r="G980" s="1" t="s">
        <v>0</v>
      </c>
      <c r="H980" s="1">
        <v>-398.79669189453102</v>
      </c>
    </row>
    <row r="981" spans="1:8" ht="14.25" customHeight="1" x14ac:dyDescent="0.2">
      <c r="A981" s="2">
        <v>46295.973032407404</v>
      </c>
      <c r="B981" s="1">
        <v>-450</v>
      </c>
      <c r="C981" s="1">
        <v>232.98979187011699</v>
      </c>
      <c r="D981" s="1">
        <v>50.939483642578097</v>
      </c>
      <c r="E981" s="2">
        <v>46295.973032407404</v>
      </c>
      <c r="F981" s="1">
        <v>-450</v>
      </c>
      <c r="G981" s="1" t="s">
        <v>0</v>
      </c>
      <c r="H981" s="1">
        <v>-398.94607543945301</v>
      </c>
    </row>
    <row r="982" spans="1:8" ht="14.25" customHeight="1" x14ac:dyDescent="0.2">
      <c r="A982" s="2">
        <v>46295.973067129627</v>
      </c>
      <c r="B982" s="1">
        <v>-400</v>
      </c>
      <c r="C982" s="1">
        <v>227.90261840820301</v>
      </c>
      <c r="D982" s="1">
        <v>49.870452880859403</v>
      </c>
      <c r="E982" s="2">
        <v>46295.973067129627</v>
      </c>
      <c r="F982" s="1">
        <v>-400</v>
      </c>
      <c r="G982" s="1" t="s">
        <v>0</v>
      </c>
      <c r="H982" s="1">
        <v>-398.81484985351602</v>
      </c>
    </row>
    <row r="983" spans="1:8" ht="14.25" customHeight="1" x14ac:dyDescent="0.2">
      <c r="A983" s="2">
        <v>46295.973101851851</v>
      </c>
      <c r="B983" s="1">
        <v>-350</v>
      </c>
      <c r="C983" s="1">
        <v>222.41319274902301</v>
      </c>
      <c r="D983" s="1">
        <v>48.716888427734403</v>
      </c>
      <c r="E983" s="2">
        <v>46295.973101851851</v>
      </c>
      <c r="F983" s="1">
        <v>-350</v>
      </c>
      <c r="G983" s="1" t="s">
        <v>0</v>
      </c>
      <c r="H983" s="1">
        <v>-398.95782470703102</v>
      </c>
    </row>
    <row r="984" spans="1:8" ht="14.25" customHeight="1" x14ac:dyDescent="0.2">
      <c r="A984" s="2">
        <v>46295.973136574074</v>
      </c>
      <c r="B984" s="1">
        <v>-300</v>
      </c>
      <c r="C984" s="1">
        <v>216.53964233398401</v>
      </c>
      <c r="D984" s="1">
        <v>47.4826049804688</v>
      </c>
      <c r="E984" s="2">
        <v>46295.973136574074</v>
      </c>
      <c r="F984" s="1">
        <v>-300</v>
      </c>
      <c r="G984" s="1" t="s">
        <v>0</v>
      </c>
      <c r="H984" s="1">
        <v>-398.93722534179699</v>
      </c>
    </row>
    <row r="985" spans="1:8" ht="14.25" customHeight="1" x14ac:dyDescent="0.2">
      <c r="A985" s="2">
        <v>46295.973171296297</v>
      </c>
      <c r="B985" s="1">
        <v>-250</v>
      </c>
      <c r="C985" s="1">
        <v>210.41050720214801</v>
      </c>
      <c r="D985" s="1">
        <v>46.194610595703097</v>
      </c>
      <c r="E985" s="2">
        <v>46295.973171296297</v>
      </c>
      <c r="F985" s="1">
        <v>-250</v>
      </c>
      <c r="G985" s="1" t="s">
        <v>0</v>
      </c>
      <c r="H985" s="1">
        <v>-398.5595703125</v>
      </c>
    </row>
    <row r="986" spans="1:8" ht="14.25" customHeight="1" x14ac:dyDescent="0.2">
      <c r="A986" s="2">
        <v>46295.97320601852</v>
      </c>
      <c r="B986" s="1">
        <v>-200</v>
      </c>
      <c r="C986" s="1">
        <v>204.05627441406301</v>
      </c>
      <c r="D986" s="1">
        <v>44.8593139648438</v>
      </c>
      <c r="E986" s="2">
        <v>46295.97320601852</v>
      </c>
      <c r="F986" s="1">
        <v>-200</v>
      </c>
      <c r="G986" s="1" t="s">
        <v>0</v>
      </c>
      <c r="H986" s="1">
        <v>-398.65493774414102</v>
      </c>
    </row>
    <row r="987" spans="1:8" ht="14.25" customHeight="1" x14ac:dyDescent="0.2">
      <c r="A987" s="2">
        <v>46295.973240740743</v>
      </c>
      <c r="B987" s="1">
        <v>-150</v>
      </c>
      <c r="C987" s="1">
        <v>197.0703125</v>
      </c>
      <c r="D987" s="1">
        <v>43.391265869140597</v>
      </c>
      <c r="E987" s="2">
        <v>46295.973240740743</v>
      </c>
      <c r="F987" s="1">
        <v>-150</v>
      </c>
      <c r="G987" s="1" t="s">
        <v>0</v>
      </c>
      <c r="H987" s="1">
        <v>-398.77288818359398</v>
      </c>
    </row>
    <row r="988" spans="1:8" ht="14.25" customHeight="1" x14ac:dyDescent="0.2">
      <c r="A988" s="2">
        <v>46295.973275462966</v>
      </c>
      <c r="B988" s="1">
        <v>-100</v>
      </c>
      <c r="C988" s="1">
        <v>190.16932678222699</v>
      </c>
      <c r="D988" s="1">
        <v>41.941070556640597</v>
      </c>
      <c r="E988" s="2">
        <v>46295.973275462966</v>
      </c>
      <c r="F988" s="1">
        <v>-100</v>
      </c>
      <c r="G988" s="1" t="s">
        <v>0</v>
      </c>
      <c r="H988" s="1">
        <v>-398.63677978515602</v>
      </c>
    </row>
    <row r="989" spans="1:8" ht="14.25" customHeight="1" x14ac:dyDescent="0.2">
      <c r="A989" s="2">
        <v>46295.973310185182</v>
      </c>
      <c r="B989" s="1">
        <v>-50</v>
      </c>
      <c r="C989" s="1">
        <v>182.72082519531301</v>
      </c>
      <c r="D989" s="1">
        <v>40.375823974609403</v>
      </c>
      <c r="E989" s="2">
        <v>46295.973310185182</v>
      </c>
      <c r="F989" s="1">
        <v>-50</v>
      </c>
      <c r="G989" s="1" t="s">
        <v>0</v>
      </c>
      <c r="H989" s="1">
        <v>-398.77746582031301</v>
      </c>
    </row>
    <row r="990" spans="1:8" ht="14.25" customHeight="1" x14ac:dyDescent="0.2">
      <c r="A990" s="2">
        <v>46295.973344907405</v>
      </c>
      <c r="B990" s="1">
        <v>0</v>
      </c>
      <c r="C990" s="1">
        <v>175.32026672363301</v>
      </c>
      <c r="D990" s="1">
        <v>38.820648193359403</v>
      </c>
      <c r="E990" s="2">
        <v>46295.973344907405</v>
      </c>
      <c r="F990" s="1">
        <v>0</v>
      </c>
      <c r="G990" s="1" t="s">
        <v>0</v>
      </c>
      <c r="H990" s="1">
        <v>-398.72863769531301</v>
      </c>
    </row>
    <row r="991" spans="1:8" ht="14.25" customHeight="1" x14ac:dyDescent="0.2">
      <c r="A991" s="2">
        <v>46295.973379629628</v>
      </c>
      <c r="B991" s="1">
        <v>50</v>
      </c>
      <c r="C991" s="1">
        <v>167.29959106445301</v>
      </c>
      <c r="D991" s="1">
        <v>37.135162353515597</v>
      </c>
      <c r="E991" s="2">
        <v>46295.973379629628</v>
      </c>
      <c r="F991" s="1">
        <v>50</v>
      </c>
      <c r="G991" s="1" t="s">
        <v>0</v>
      </c>
      <c r="H991" s="1">
        <v>-398.63693237304699</v>
      </c>
    </row>
    <row r="992" spans="1:8" ht="14.25" customHeight="1" x14ac:dyDescent="0.2">
      <c r="A992" s="2">
        <v>46295.973414351851</v>
      </c>
      <c r="B992" s="1">
        <v>100</v>
      </c>
      <c r="C992" s="1">
        <v>159.23391723632801</v>
      </c>
      <c r="D992" s="1">
        <v>35.440216064453097</v>
      </c>
      <c r="E992" s="2">
        <v>46295.973414351851</v>
      </c>
      <c r="F992" s="1">
        <v>100</v>
      </c>
      <c r="G992" s="1" t="s">
        <v>0</v>
      </c>
      <c r="H992" s="1">
        <v>-398.66897583007801</v>
      </c>
    </row>
    <row r="993" spans="1:8" ht="14.25" customHeight="1" x14ac:dyDescent="0.2">
      <c r="A993" s="2">
        <v>46295.973449074074</v>
      </c>
      <c r="B993" s="1">
        <v>150</v>
      </c>
      <c r="C993" s="1">
        <v>148.57235717773401</v>
      </c>
      <c r="D993" s="1">
        <v>33.1997680664063</v>
      </c>
      <c r="E993" s="2">
        <v>46295.973449074074</v>
      </c>
      <c r="F993" s="1">
        <v>150</v>
      </c>
      <c r="G993" s="1" t="s">
        <v>0</v>
      </c>
      <c r="H993" s="1">
        <v>-398.626708984375</v>
      </c>
    </row>
    <row r="994" spans="1:8" ht="14.25" customHeight="1" x14ac:dyDescent="0.2">
      <c r="A994" s="2">
        <v>46295.973483796297</v>
      </c>
      <c r="B994" s="1">
        <v>200</v>
      </c>
      <c r="C994" s="1">
        <v>140.833419799805</v>
      </c>
      <c r="D994" s="1">
        <v>31.573486328125</v>
      </c>
      <c r="E994" s="2">
        <v>46295.973483796297</v>
      </c>
      <c r="F994" s="1">
        <v>200</v>
      </c>
      <c r="G994" s="1" t="s">
        <v>0</v>
      </c>
      <c r="H994" s="1">
        <v>-398.80096435546898</v>
      </c>
    </row>
    <row r="995" spans="1:8" ht="14.25" customHeight="1" x14ac:dyDescent="0.2">
      <c r="A995" s="2">
        <v>46295.97351851852</v>
      </c>
      <c r="B995" s="1">
        <v>250</v>
      </c>
      <c r="C995" s="1">
        <v>133.55194091796901</v>
      </c>
      <c r="D995" s="1">
        <v>30.0433349609375</v>
      </c>
      <c r="E995" s="2">
        <v>46295.97351851852</v>
      </c>
      <c r="F995" s="1">
        <v>250</v>
      </c>
      <c r="G995" s="1" t="s">
        <v>0</v>
      </c>
      <c r="H995" s="1">
        <v>-398.66302490234398</v>
      </c>
    </row>
    <row r="996" spans="1:8" ht="14.25" customHeight="1" x14ac:dyDescent="0.2">
      <c r="A996" s="2">
        <v>46295.973553240743</v>
      </c>
      <c r="B996" s="1">
        <v>300</v>
      </c>
      <c r="C996" s="1">
        <v>126.608100891113</v>
      </c>
      <c r="D996" s="1">
        <v>28.5841369628906</v>
      </c>
      <c r="E996" s="2">
        <v>46295.973553240743</v>
      </c>
      <c r="F996" s="1">
        <v>300</v>
      </c>
      <c r="G996" s="1" t="s">
        <v>0</v>
      </c>
      <c r="H996" s="1">
        <v>-398.93997192382801</v>
      </c>
    </row>
    <row r="997" spans="1:8" ht="14.25" customHeight="1" x14ac:dyDescent="0.2">
      <c r="A997" s="2">
        <v>46295.973587962966</v>
      </c>
      <c r="B997" s="1">
        <v>350</v>
      </c>
      <c r="C997" s="1">
        <v>119.57640075683599</v>
      </c>
      <c r="D997" s="1">
        <v>27.1064758300781</v>
      </c>
      <c r="E997" s="2">
        <v>46295.973587962966</v>
      </c>
      <c r="F997" s="1">
        <v>350</v>
      </c>
      <c r="G997" s="1" t="s">
        <v>0</v>
      </c>
      <c r="H997" s="1">
        <v>-398.97521972656301</v>
      </c>
    </row>
    <row r="998" spans="1:8" ht="14.25" customHeight="1" x14ac:dyDescent="0.2">
      <c r="A998" s="2">
        <v>46295.973622685182</v>
      </c>
      <c r="B998" s="1">
        <v>400</v>
      </c>
      <c r="C998" s="1">
        <v>113.37030029296901</v>
      </c>
      <c r="D998" s="1">
        <v>25.8023071289063</v>
      </c>
      <c r="E998" s="2">
        <v>46295.973622685182</v>
      </c>
      <c r="F998" s="1">
        <v>400</v>
      </c>
      <c r="G998" s="1" t="s">
        <v>0</v>
      </c>
      <c r="H998" s="1">
        <v>-399.06448364257801</v>
      </c>
    </row>
    <row r="999" spans="1:8" ht="14.25" customHeight="1" x14ac:dyDescent="0.2">
      <c r="A999" s="2">
        <v>46295.973657407405</v>
      </c>
      <c r="B999" s="1">
        <v>450</v>
      </c>
      <c r="C999" s="1">
        <v>107.48586273193401</v>
      </c>
      <c r="D999" s="1">
        <v>24.5657348632813</v>
      </c>
      <c r="E999" s="2">
        <v>46295.973657407405</v>
      </c>
      <c r="F999" s="1">
        <v>450</v>
      </c>
      <c r="G999" s="1" t="s">
        <v>0</v>
      </c>
      <c r="H999" s="1">
        <v>-397.79800415039102</v>
      </c>
    </row>
    <row r="1000" spans="1:8" ht="14.25" customHeight="1" x14ac:dyDescent="0.2">
      <c r="A1000" s="2">
        <v>46295.973692129628</v>
      </c>
      <c r="B1000" s="1">
        <v>500</v>
      </c>
      <c r="C1000" s="1">
        <v>100.043907165527</v>
      </c>
      <c r="D1000" s="1">
        <v>23.0018615722656</v>
      </c>
      <c r="E1000" s="2">
        <v>46295.973692129628</v>
      </c>
      <c r="F1000" s="1">
        <v>500</v>
      </c>
      <c r="G1000" s="1" t="s">
        <v>0</v>
      </c>
      <c r="H1000" s="1">
        <v>-399.27093505859398</v>
      </c>
    </row>
    <row r="1001" spans="1:8" ht="14.25" customHeight="1" x14ac:dyDescent="0.2">
      <c r="A1001" s="2">
        <v>46295.973726851851</v>
      </c>
      <c r="B1001" s="1">
        <v>550</v>
      </c>
      <c r="C1001" s="1">
        <v>93.916946411132798</v>
      </c>
      <c r="D1001" s="1">
        <v>21.7143249511719</v>
      </c>
      <c r="E1001" s="2">
        <v>46295.973726851851</v>
      </c>
      <c r="F1001" s="1">
        <v>550</v>
      </c>
      <c r="G1001" s="1" t="s">
        <v>0</v>
      </c>
      <c r="H1001" s="1">
        <v>-398.90655517578102</v>
      </c>
    </row>
    <row r="1002" spans="1:8" ht="14.25" customHeight="1" x14ac:dyDescent="0.2">
      <c r="A1002" s="2">
        <v>46295.973761574074</v>
      </c>
      <c r="B1002" s="1">
        <v>600</v>
      </c>
      <c r="C1002" s="1">
        <v>87.187309265136705</v>
      </c>
      <c r="D1002" s="1">
        <v>20.3001403808594</v>
      </c>
      <c r="E1002" s="2">
        <v>46295.973761574074</v>
      </c>
      <c r="F1002" s="1">
        <v>600</v>
      </c>
      <c r="G1002" s="1" t="s">
        <v>0</v>
      </c>
      <c r="H1002" s="1">
        <v>-398.83163452148398</v>
      </c>
    </row>
    <row r="1003" spans="1:8" ht="14.25" customHeight="1" x14ac:dyDescent="0.2">
      <c r="A1003" s="2">
        <v>46295.973796296297</v>
      </c>
      <c r="B1003" s="1">
        <v>650</v>
      </c>
      <c r="C1003" s="1">
        <v>80.324798583984403</v>
      </c>
      <c r="D1003" s="1">
        <v>18.8580322265625</v>
      </c>
      <c r="E1003" s="2">
        <v>46295.973796296297</v>
      </c>
      <c r="F1003" s="1">
        <v>650</v>
      </c>
      <c r="G1003" s="1" t="s">
        <v>0</v>
      </c>
      <c r="H1003" s="1">
        <v>-398.91387939453102</v>
      </c>
    </row>
    <row r="1004" spans="1:8" ht="14.25" customHeight="1" x14ac:dyDescent="0.2">
      <c r="A1004" s="2">
        <v>46295.97383101852</v>
      </c>
      <c r="B1004" s="1">
        <v>700</v>
      </c>
      <c r="C1004" s="1">
        <v>74.635681152343807</v>
      </c>
      <c r="D1004" s="1">
        <v>17.6625061035156</v>
      </c>
      <c r="E1004" s="2">
        <v>46295.97383101852</v>
      </c>
      <c r="F1004" s="1">
        <v>700</v>
      </c>
      <c r="G1004" s="1" t="s">
        <v>0</v>
      </c>
      <c r="H1004" s="1">
        <v>-398.77456665039102</v>
      </c>
    </row>
    <row r="1005" spans="1:8" ht="14.25" customHeight="1" x14ac:dyDescent="0.2">
      <c r="A1005" s="2">
        <v>46295.973865740743</v>
      </c>
      <c r="B1005" s="1">
        <v>750</v>
      </c>
      <c r="C1005" s="1">
        <v>67.790596008300795</v>
      </c>
      <c r="D1005" s="1">
        <v>16.2240600585938</v>
      </c>
      <c r="E1005" s="2">
        <v>46295.973865740743</v>
      </c>
      <c r="F1005" s="1">
        <v>750</v>
      </c>
      <c r="G1005" s="1" t="s">
        <v>0</v>
      </c>
      <c r="H1005" s="1">
        <v>-398.98132324218801</v>
      </c>
    </row>
    <row r="1006" spans="1:8" ht="14.25" customHeight="1" x14ac:dyDescent="0.2">
      <c r="A1006" s="2">
        <v>46295.973900462966</v>
      </c>
      <c r="B1006" s="1">
        <v>800</v>
      </c>
      <c r="C1006" s="1">
        <v>60.761802673339801</v>
      </c>
      <c r="D1006" s="1">
        <v>14.7470092773438</v>
      </c>
      <c r="E1006" s="2">
        <v>46295.973900462966</v>
      </c>
      <c r="F1006" s="1">
        <v>800</v>
      </c>
      <c r="G1006" s="1" t="s">
        <v>0</v>
      </c>
      <c r="H1006" s="1">
        <v>-398.99612426757801</v>
      </c>
    </row>
    <row r="1007" spans="1:8" ht="14.25" customHeight="1" x14ac:dyDescent="0.2">
      <c r="A1007" s="2">
        <v>46295.973935185182</v>
      </c>
      <c r="B1007" s="1">
        <v>850</v>
      </c>
      <c r="C1007" s="1">
        <v>53.433845520019503</v>
      </c>
      <c r="D1007" s="1">
        <v>13.2070922851563</v>
      </c>
      <c r="E1007" s="2">
        <v>46295.973935185182</v>
      </c>
      <c r="F1007" s="1">
        <v>850</v>
      </c>
      <c r="G1007" s="1" t="s">
        <v>0</v>
      </c>
      <c r="H1007" s="1">
        <v>-398.8818359375</v>
      </c>
    </row>
    <row r="1008" spans="1:8" ht="14.25" customHeight="1" x14ac:dyDescent="0.2">
      <c r="A1008" s="2">
        <v>46295.973969907405</v>
      </c>
      <c r="B1008" s="1">
        <v>900</v>
      </c>
      <c r="C1008" s="1">
        <v>47.7730522155762</v>
      </c>
      <c r="D1008" s="1">
        <v>12.0175170898438</v>
      </c>
      <c r="E1008" s="2">
        <v>46295.973969907405</v>
      </c>
      <c r="F1008" s="1">
        <v>900</v>
      </c>
      <c r="G1008" s="1" t="s">
        <v>0</v>
      </c>
      <c r="H1008" s="1">
        <v>-398.68621826171898</v>
      </c>
    </row>
    <row r="1009" spans="1:8" ht="14.25" customHeight="1" x14ac:dyDescent="0.2">
      <c r="A1009" s="2">
        <v>46295.974004629628</v>
      </c>
      <c r="B1009" s="1">
        <v>950</v>
      </c>
      <c r="C1009" s="1">
        <v>42.871047973632798</v>
      </c>
      <c r="D1009" s="1">
        <v>10.9873962402344</v>
      </c>
      <c r="E1009" s="2">
        <v>46295.974004629628</v>
      </c>
      <c r="F1009" s="1">
        <v>950</v>
      </c>
      <c r="G1009" s="1" t="s">
        <v>0</v>
      </c>
      <c r="H1009" s="1">
        <v>-398.64059448242199</v>
      </c>
    </row>
    <row r="1010" spans="1:8" ht="14.25" customHeight="1" x14ac:dyDescent="0.2">
      <c r="A1010" s="2">
        <v>46295.974039351851</v>
      </c>
      <c r="B1010" s="1">
        <v>1000</v>
      </c>
      <c r="C1010" s="1">
        <v>36.876968383789098</v>
      </c>
      <c r="D1010" s="1">
        <v>9.727783203125</v>
      </c>
      <c r="E1010" s="2">
        <v>46295.974039351851</v>
      </c>
      <c r="F1010" s="1">
        <v>1000</v>
      </c>
      <c r="G1010" s="1" t="s">
        <v>0</v>
      </c>
      <c r="H1010" s="1">
        <v>-398.69812011718801</v>
      </c>
    </row>
    <row r="1011" spans="1:8" ht="14.25" customHeight="1" x14ac:dyDescent="0.2">
      <c r="A1011" s="2">
        <v>46295.974074074074</v>
      </c>
      <c r="B1011" s="1">
        <v>1050</v>
      </c>
      <c r="C1011" s="1">
        <v>32.247257232666001</v>
      </c>
      <c r="D1011" s="1">
        <v>8.7548828125</v>
      </c>
      <c r="E1011" s="2">
        <v>46295.974074074074</v>
      </c>
      <c r="F1011" s="1">
        <v>1050</v>
      </c>
      <c r="G1011" s="1" t="s">
        <v>0</v>
      </c>
      <c r="H1011" s="1">
        <v>-398.75</v>
      </c>
    </row>
    <row r="1012" spans="1:8" ht="14.25" customHeight="1" x14ac:dyDescent="0.2">
      <c r="A1012" s="2">
        <v>46295.974108796298</v>
      </c>
      <c r="B1012" s="1">
        <v>1100</v>
      </c>
      <c r="C1012" s="1">
        <v>27.726465225219702</v>
      </c>
      <c r="D1012" s="1">
        <v>7.80487060546875</v>
      </c>
      <c r="E1012" s="2">
        <v>46295.974108796298</v>
      </c>
      <c r="F1012" s="1">
        <v>1100</v>
      </c>
      <c r="G1012" s="1" t="s">
        <v>0</v>
      </c>
      <c r="H1012" s="1">
        <v>-398.88031005859398</v>
      </c>
    </row>
    <row r="1013" spans="1:8" ht="14.25" customHeight="1" x14ac:dyDescent="0.2">
      <c r="A1013" s="2">
        <v>46295.974143518521</v>
      </c>
      <c r="B1013" s="1">
        <v>1150</v>
      </c>
      <c r="C1013" s="1">
        <v>22.3452262878418</v>
      </c>
      <c r="D1013" s="1">
        <v>6.6740417480468803</v>
      </c>
      <c r="E1013" s="2">
        <v>46295.974143518521</v>
      </c>
      <c r="F1013" s="1">
        <v>1150</v>
      </c>
      <c r="G1013" s="1" t="s">
        <v>0</v>
      </c>
      <c r="H1013" s="1">
        <v>-398.59283447265602</v>
      </c>
    </row>
    <row r="1014" spans="1:8" ht="14.25" customHeight="1" x14ac:dyDescent="0.2">
      <c r="A1014" s="2">
        <v>46295.974178240744</v>
      </c>
      <c r="B1014" s="1">
        <v>1200</v>
      </c>
      <c r="C1014" s="1">
        <v>18.291324615478501</v>
      </c>
      <c r="D1014" s="1">
        <v>5.8221435546875</v>
      </c>
      <c r="E1014" s="2">
        <v>46295.974178240744</v>
      </c>
      <c r="F1014" s="1">
        <v>1200</v>
      </c>
      <c r="G1014" s="1" t="s">
        <v>0</v>
      </c>
      <c r="H1014" s="1">
        <v>-398.72253417968801</v>
      </c>
    </row>
    <row r="1015" spans="1:8" ht="14.25" customHeight="1" x14ac:dyDescent="0.2">
      <c r="A1015" s="2">
        <v>46295.974212962959</v>
      </c>
      <c r="B1015" s="1">
        <v>1250</v>
      </c>
      <c r="C1015" s="1">
        <v>15.6373739242554</v>
      </c>
      <c r="D1015" s="1">
        <v>5.2644348144531303</v>
      </c>
      <c r="E1015" s="2">
        <v>46295.974212962959</v>
      </c>
      <c r="F1015" s="1">
        <v>1250</v>
      </c>
      <c r="G1015" s="1" t="s">
        <v>0</v>
      </c>
      <c r="H1015" s="1">
        <v>-398.71200561523398</v>
      </c>
    </row>
    <row r="1016" spans="1:8" ht="14.25" customHeight="1" x14ac:dyDescent="0.2">
      <c r="A1016" s="2">
        <v>46295.974247685182</v>
      </c>
      <c r="B1016" s="1">
        <v>1300</v>
      </c>
      <c r="C1016" s="1">
        <v>12.787371635436999</v>
      </c>
      <c r="D1016" s="1">
        <v>4.66552734375</v>
      </c>
      <c r="E1016" s="2">
        <v>46295.974247685182</v>
      </c>
      <c r="F1016" s="1">
        <v>1300</v>
      </c>
      <c r="G1016" s="1" t="s">
        <v>0</v>
      </c>
      <c r="H1016" s="1">
        <v>-398.65859985351602</v>
      </c>
    </row>
    <row r="1017" spans="1:8" ht="14.25" customHeight="1" x14ac:dyDescent="0.2">
      <c r="A1017" s="2">
        <v>46295.974282407406</v>
      </c>
      <c r="B1017" s="1">
        <v>1350</v>
      </c>
      <c r="C1017" s="1">
        <v>9.3942356109619105</v>
      </c>
      <c r="D1017" s="1">
        <v>3.9524841308593799</v>
      </c>
      <c r="E1017" s="2">
        <v>46295.974282407406</v>
      </c>
      <c r="F1017" s="1">
        <v>1350</v>
      </c>
      <c r="G1017" s="1" t="s">
        <v>0</v>
      </c>
      <c r="H1017" s="1">
        <v>-398.58322143554699</v>
      </c>
    </row>
    <row r="1018" spans="1:8" ht="14.25" customHeight="1" x14ac:dyDescent="0.2">
      <c r="A1018" s="2">
        <v>46295.974317129629</v>
      </c>
      <c r="B1018" s="1">
        <v>1400</v>
      </c>
      <c r="C1018" s="1">
        <v>6.5159153938293501</v>
      </c>
      <c r="D1018" s="1">
        <v>3.3476257324218799</v>
      </c>
      <c r="E1018" s="2">
        <v>46295.974317129629</v>
      </c>
      <c r="F1018" s="1">
        <v>1400</v>
      </c>
      <c r="G1018" s="1" t="s">
        <v>0</v>
      </c>
      <c r="H1018" s="1">
        <v>-398.98773193359398</v>
      </c>
    </row>
    <row r="1019" spans="1:8" ht="14.25" customHeight="1" x14ac:dyDescent="0.2">
      <c r="A1019" s="2">
        <v>46295.974351851852</v>
      </c>
      <c r="B1019" s="1">
        <v>1450</v>
      </c>
      <c r="C1019" s="1">
        <v>4.6497993469238299</v>
      </c>
      <c r="D1019" s="1">
        <v>2.9554748535156299</v>
      </c>
      <c r="E1019" s="2">
        <v>46295.974351851852</v>
      </c>
      <c r="F1019" s="1">
        <v>1450</v>
      </c>
      <c r="G1019" s="1" t="s">
        <v>0</v>
      </c>
      <c r="H1019" s="1">
        <v>-398.97430419921898</v>
      </c>
    </row>
    <row r="1020" spans="1:8" ht="14.25" customHeight="1" x14ac:dyDescent="0.2">
      <c r="A1020" s="2">
        <v>46295.974386574075</v>
      </c>
      <c r="B1020" s="1">
        <v>1500</v>
      </c>
      <c r="C1020" s="1">
        <v>3.2781677246093799</v>
      </c>
      <c r="D1020" s="1">
        <v>2.667236328125</v>
      </c>
      <c r="E1020" s="2">
        <v>46295.974386574075</v>
      </c>
      <c r="F1020" s="1">
        <v>1500</v>
      </c>
      <c r="G1020" s="1" t="s">
        <v>0</v>
      </c>
      <c r="H1020" s="1">
        <v>-398.87405395507801</v>
      </c>
    </row>
    <row r="1021" spans="1:8" ht="14.25" customHeight="1" x14ac:dyDescent="0.2">
      <c r="A1021" s="2">
        <v>46295.974432870367</v>
      </c>
      <c r="B1021" s="1">
        <v>1550</v>
      </c>
      <c r="C1021" s="1">
        <v>2.4380524158477801</v>
      </c>
      <c r="D1021" s="1">
        <v>2.4906921386718799</v>
      </c>
      <c r="E1021" s="2">
        <v>46295.974432870367</v>
      </c>
      <c r="F1021" s="1">
        <v>1550</v>
      </c>
      <c r="G1021" s="1" t="s">
        <v>0</v>
      </c>
      <c r="H1021" s="1">
        <v>-398.97491455078102</v>
      </c>
    </row>
    <row r="1022" spans="1:8" ht="14.25" customHeight="1" x14ac:dyDescent="0.2">
      <c r="A1022" s="2">
        <v>46295.97446759259</v>
      </c>
      <c r="B1022" s="1">
        <v>1600</v>
      </c>
      <c r="C1022" s="1">
        <v>1.4512619972228999</v>
      </c>
      <c r="D1022" s="1">
        <v>2.2833251953125</v>
      </c>
      <c r="E1022" s="2">
        <v>46295.97446759259</v>
      </c>
      <c r="F1022" s="1">
        <v>1600</v>
      </c>
      <c r="G1022" s="1" t="s">
        <v>0</v>
      </c>
      <c r="H1022" s="1">
        <v>-399.09957885742199</v>
      </c>
    </row>
    <row r="1023" spans="1:8" ht="14.25" customHeight="1" x14ac:dyDescent="0.2">
      <c r="A1023" s="2">
        <v>46295.974502314813</v>
      </c>
      <c r="B1023" s="1">
        <v>1650</v>
      </c>
      <c r="C1023" s="1">
        <v>0.35700643062591603</v>
      </c>
      <c r="D1023" s="1">
        <v>2.0533752441406299</v>
      </c>
      <c r="E1023" s="2">
        <v>46295.974502314813</v>
      </c>
      <c r="F1023" s="1">
        <v>1650</v>
      </c>
      <c r="G1023" s="1" t="s">
        <v>0</v>
      </c>
      <c r="H1023" s="1">
        <v>-398.75411987304699</v>
      </c>
    </row>
    <row r="1024" spans="1:8" ht="14.25" customHeight="1" x14ac:dyDescent="0.2">
      <c r="A1024" s="2">
        <v>46295.974537037036</v>
      </c>
      <c r="B1024" s="1">
        <v>1700</v>
      </c>
      <c r="C1024" s="1">
        <v>8.9069940149784102E-2</v>
      </c>
      <c r="D1024" s="1">
        <v>1.9970703125</v>
      </c>
      <c r="E1024" s="2">
        <v>46295.974537037036</v>
      </c>
      <c r="F1024" s="1">
        <v>1700</v>
      </c>
      <c r="G1024" s="1" t="s">
        <v>0</v>
      </c>
      <c r="H1024" s="1">
        <v>-398.40270996093801</v>
      </c>
    </row>
    <row r="1025" spans="1:8" ht="14.25" customHeight="1" x14ac:dyDescent="0.2">
      <c r="A1025" s="2">
        <v>46295.97457175926</v>
      </c>
      <c r="B1025" s="1">
        <v>1750</v>
      </c>
      <c r="C1025" s="1">
        <v>-3.8726329803466797E-2</v>
      </c>
      <c r="D1025" s="1">
        <v>1.97021484375</v>
      </c>
      <c r="E1025" s="2">
        <v>46295.97457175926</v>
      </c>
      <c r="F1025" s="1">
        <v>1750</v>
      </c>
      <c r="G1025" s="1" t="s">
        <v>0</v>
      </c>
      <c r="H1025" s="1">
        <v>-399.30236816406301</v>
      </c>
    </row>
    <row r="1026" spans="1:8" ht="14.25" customHeight="1" x14ac:dyDescent="0.2">
      <c r="A1026" s="2">
        <v>46295.974606481483</v>
      </c>
      <c r="B1026" s="1">
        <v>1800</v>
      </c>
      <c r="C1026" s="1">
        <v>-7.7210433781147003E-2</v>
      </c>
      <c r="D1026" s="1">
        <v>1.9621276855468801</v>
      </c>
      <c r="E1026" s="2">
        <v>46295.974606481483</v>
      </c>
      <c r="F1026" s="1">
        <v>1800</v>
      </c>
      <c r="G1026" s="1" t="s">
        <v>0</v>
      </c>
      <c r="H1026" s="1">
        <v>-399.11575317382801</v>
      </c>
    </row>
    <row r="1027" spans="1:8" ht="14.25" customHeight="1" x14ac:dyDescent="0.2">
      <c r="A1027" s="2">
        <v>46295.974641203706</v>
      </c>
      <c r="B1027" s="1">
        <v>1850</v>
      </c>
      <c r="C1027" s="1">
        <v>-9.1732740402221694E-2</v>
      </c>
      <c r="D1027" s="1">
        <v>1.9590759277343801</v>
      </c>
      <c r="E1027" s="2">
        <v>46295.974641203706</v>
      </c>
      <c r="F1027" s="1">
        <v>1850</v>
      </c>
      <c r="G1027" s="1" t="s">
        <v>0</v>
      </c>
      <c r="H1027" s="1">
        <v>-399.06845092773398</v>
      </c>
    </row>
    <row r="1028" spans="1:8" ht="14.25" customHeight="1" x14ac:dyDescent="0.2">
      <c r="A1028" s="2">
        <v>46295.974675925929</v>
      </c>
      <c r="B1028" s="1">
        <v>1900</v>
      </c>
      <c r="C1028" s="1">
        <v>-0.118598997592926</v>
      </c>
      <c r="D1028" s="1">
        <v>1.95343017578125</v>
      </c>
      <c r="E1028" s="2">
        <v>46295.974675925929</v>
      </c>
      <c r="F1028" s="1">
        <v>1900</v>
      </c>
      <c r="G1028" s="1" t="s">
        <v>0</v>
      </c>
      <c r="H1028" s="1">
        <v>-398.94256591796898</v>
      </c>
    </row>
    <row r="1029" spans="1:8" ht="14.25" customHeight="1" x14ac:dyDescent="0.2">
      <c r="A1029" s="2">
        <v>46295.974710648145</v>
      </c>
      <c r="B1029" s="1">
        <v>1950</v>
      </c>
      <c r="C1029" s="1">
        <v>-0.149821951985359</v>
      </c>
      <c r="D1029" s="1">
        <v>1.9468688964843801</v>
      </c>
      <c r="E1029" s="2">
        <v>46295.974710648145</v>
      </c>
      <c r="F1029" s="1">
        <v>1950</v>
      </c>
      <c r="G1029" s="1" t="s">
        <v>0</v>
      </c>
      <c r="H1029" s="1">
        <v>-399.02648925781301</v>
      </c>
    </row>
    <row r="1030" spans="1:8" ht="14.25" customHeight="1" x14ac:dyDescent="0.2">
      <c r="A1030" s="2">
        <v>46295.974745370368</v>
      </c>
      <c r="B1030" s="1">
        <v>2000</v>
      </c>
      <c r="C1030" s="1">
        <v>-0.21589843928813901</v>
      </c>
      <c r="D1030" s="1">
        <v>1.9329833984375</v>
      </c>
      <c r="E1030" s="2">
        <v>46295.974745370368</v>
      </c>
      <c r="F1030" s="1">
        <v>2000</v>
      </c>
      <c r="G1030" s="1" t="s">
        <v>0</v>
      </c>
      <c r="H1030" s="1">
        <v>-398.88214111328102</v>
      </c>
    </row>
    <row r="1031" spans="1:8" ht="14.25" customHeight="1" x14ac:dyDescent="0.2">
      <c r="A1031" s="2">
        <v>46295.974780092591</v>
      </c>
      <c r="B1031" s="1">
        <v>2050</v>
      </c>
      <c r="C1031" s="1">
        <v>-0.250751972198486</v>
      </c>
      <c r="D1031" s="1">
        <v>1.9256591796875</v>
      </c>
      <c r="E1031" s="2">
        <v>46295.974780092591</v>
      </c>
      <c r="F1031" s="1">
        <v>2050</v>
      </c>
      <c r="G1031" s="1" t="s">
        <v>0</v>
      </c>
      <c r="H1031" s="1">
        <v>-398.98941040039102</v>
      </c>
    </row>
    <row r="1032" spans="1:8" ht="14.25" customHeight="1" x14ac:dyDescent="0.2">
      <c r="A1032" s="2">
        <v>46295.974814814814</v>
      </c>
      <c r="B1032" s="1">
        <v>2100</v>
      </c>
      <c r="C1032" s="1">
        <v>-0.119325116276741</v>
      </c>
      <c r="D1032" s="1">
        <v>1.9532775878906301</v>
      </c>
      <c r="E1032" s="2">
        <v>46295.974814814814</v>
      </c>
      <c r="F1032" s="1">
        <v>2100</v>
      </c>
      <c r="G1032" s="1" t="s">
        <v>0</v>
      </c>
      <c r="H1032" s="1">
        <v>-399.03335571289102</v>
      </c>
    </row>
    <row r="1033" spans="1:8" ht="14.25" customHeight="1" x14ac:dyDescent="0.2">
      <c r="A1033" s="2">
        <v>46295.974849537037</v>
      </c>
      <c r="B1033" s="1">
        <v>2150</v>
      </c>
      <c r="C1033" s="1">
        <v>-0.22533793747425099</v>
      </c>
      <c r="D1033" s="1">
        <v>1.9309997558593801</v>
      </c>
      <c r="E1033" s="2">
        <v>46295.974849537037</v>
      </c>
      <c r="F1033" s="1">
        <v>2150</v>
      </c>
      <c r="G1033" s="1" t="s">
        <v>0</v>
      </c>
      <c r="H1033" s="1">
        <v>-398.97064208984398</v>
      </c>
    </row>
    <row r="1034" spans="1:8" ht="14.25" customHeight="1" x14ac:dyDescent="0.2">
      <c r="A1034" s="2">
        <v>46295.97488425926</v>
      </c>
      <c r="B1034" s="1">
        <v>2200</v>
      </c>
      <c r="C1034" s="1">
        <v>-0.28124880790710399</v>
      </c>
      <c r="D1034" s="1">
        <v>1.91925048828125</v>
      </c>
      <c r="E1034" s="2">
        <v>46295.97488425926</v>
      </c>
      <c r="F1034" s="1">
        <v>2200</v>
      </c>
      <c r="G1034" s="1" t="s">
        <v>0</v>
      </c>
      <c r="H1034" s="1">
        <v>-399.12261962890602</v>
      </c>
    </row>
    <row r="1035" spans="1:8" ht="14.25" customHeight="1" x14ac:dyDescent="0.2">
      <c r="A1035" s="2">
        <v>46295.974918981483</v>
      </c>
      <c r="B1035" s="1">
        <v>2250</v>
      </c>
      <c r="C1035" s="1">
        <v>-0.26236981153488198</v>
      </c>
      <c r="D1035" s="1">
        <v>1.9232177734375</v>
      </c>
      <c r="E1035" s="2">
        <v>46295.974918981483</v>
      </c>
      <c r="F1035" s="1">
        <v>2250</v>
      </c>
      <c r="G1035" s="1" t="s">
        <v>0</v>
      </c>
      <c r="H1035" s="1">
        <v>-399.09484863281301</v>
      </c>
    </row>
    <row r="1036" spans="1:8" ht="14.25" customHeight="1" x14ac:dyDescent="0.2">
      <c r="A1036" s="2">
        <v>46295.974953703706</v>
      </c>
      <c r="B1036" s="1">
        <v>2300</v>
      </c>
      <c r="C1036" s="1">
        <v>-0.25365641713142401</v>
      </c>
      <c r="D1036" s="1">
        <v>1.925048828125</v>
      </c>
      <c r="E1036" s="2">
        <v>46295.974953703706</v>
      </c>
      <c r="F1036" s="1">
        <v>2300</v>
      </c>
      <c r="G1036" s="1" t="s">
        <v>0</v>
      </c>
      <c r="H1036" s="1">
        <v>-399.41726684570301</v>
      </c>
    </row>
    <row r="1037" spans="1:8" ht="14.25" customHeight="1" x14ac:dyDescent="0.2">
      <c r="A1037" s="2">
        <v>46295.974988425929</v>
      </c>
      <c r="B1037" s="1">
        <v>2350</v>
      </c>
      <c r="C1037" s="1">
        <v>-0.24639527499675801</v>
      </c>
      <c r="D1037" s="1">
        <v>1.92657470703125</v>
      </c>
      <c r="E1037" s="2">
        <v>46295.974988425929</v>
      </c>
      <c r="F1037" s="1">
        <v>2350</v>
      </c>
      <c r="G1037" s="1" t="s">
        <v>0</v>
      </c>
      <c r="H1037" s="1">
        <v>-398.69338989257801</v>
      </c>
    </row>
    <row r="1038" spans="1:8" ht="14.25" customHeight="1" x14ac:dyDescent="0.2">
      <c r="A1038" s="2">
        <v>46295.975023148145</v>
      </c>
      <c r="B1038" s="1">
        <v>2400</v>
      </c>
      <c r="C1038" s="1">
        <v>-0.27834433317184398</v>
      </c>
      <c r="D1038" s="1">
        <v>1.91986083984375</v>
      </c>
      <c r="E1038" s="2">
        <v>46295.975023148145</v>
      </c>
      <c r="F1038" s="1">
        <v>2400</v>
      </c>
      <c r="G1038" s="1" t="s">
        <v>0</v>
      </c>
      <c r="H1038" s="1">
        <v>-398.80859375</v>
      </c>
    </row>
    <row r="1039" spans="1:8" ht="14.25" customHeight="1" x14ac:dyDescent="0.2">
      <c r="A1039" s="2">
        <v>46295.975057870368</v>
      </c>
      <c r="B1039" s="1">
        <v>2450</v>
      </c>
      <c r="C1039" s="1">
        <v>-0.32408958673477201</v>
      </c>
      <c r="D1039" s="1">
        <v>1.9102478027343801</v>
      </c>
      <c r="E1039" s="2">
        <v>46295.975057870368</v>
      </c>
      <c r="F1039" s="1">
        <v>2450</v>
      </c>
      <c r="G1039" s="1" t="s">
        <v>0</v>
      </c>
      <c r="H1039" s="1">
        <v>-398.98513793945301</v>
      </c>
    </row>
    <row r="1040" spans="1:8" ht="14.25" customHeight="1" x14ac:dyDescent="0.2">
      <c r="A1040" s="2">
        <v>46295.975092592591</v>
      </c>
      <c r="B1040" s="1">
        <v>2500</v>
      </c>
      <c r="C1040" s="1">
        <v>-0.35821700096130399</v>
      </c>
      <c r="D1040" s="1">
        <v>1.903076171875</v>
      </c>
      <c r="E1040" s="2">
        <v>46295.975092592591</v>
      </c>
      <c r="F1040" s="1">
        <v>2500</v>
      </c>
      <c r="G1040" s="1" t="s">
        <v>0</v>
      </c>
      <c r="H1040" s="1">
        <v>-399.05487060546898</v>
      </c>
    </row>
    <row r="1041" spans="1:8" ht="14.25" customHeight="1" x14ac:dyDescent="0.2">
      <c r="A1041" s="1"/>
      <c r="B1041" s="1"/>
      <c r="C1041" s="1"/>
      <c r="D1041" s="1"/>
      <c r="E1041" s="1"/>
      <c r="F1041" s="1"/>
      <c r="G1041" s="1"/>
      <c r="H1041" s="1"/>
    </row>
    <row r="1042" spans="1:8" ht="14.25" customHeight="1" x14ac:dyDescent="0.2">
      <c r="A1042" s="2">
        <v>46295.977152777778</v>
      </c>
      <c r="B1042" s="1">
        <v>-1500</v>
      </c>
      <c r="C1042" s="1">
        <v>288.55575561523398</v>
      </c>
      <c r="D1042" s="1">
        <v>62.6162719726563</v>
      </c>
      <c r="E1042" s="2">
        <v>46295.977152777778</v>
      </c>
      <c r="F1042" s="1">
        <v>-1500</v>
      </c>
      <c r="G1042" s="1" t="s">
        <v>0</v>
      </c>
      <c r="H1042" s="1">
        <v>-397.06497192382801</v>
      </c>
    </row>
    <row r="1043" spans="1:8" ht="14.25" customHeight="1" x14ac:dyDescent="0.2">
      <c r="A1043" s="2">
        <v>46295.977187500001</v>
      </c>
      <c r="B1043" s="1">
        <v>-1450</v>
      </c>
      <c r="C1043" s="1">
        <v>288.23989868164102</v>
      </c>
      <c r="D1043" s="1">
        <v>62.549896240234403</v>
      </c>
      <c r="E1043" s="2">
        <v>46295.977187500001</v>
      </c>
      <c r="F1043" s="1">
        <v>-1450</v>
      </c>
      <c r="G1043" s="1" t="s">
        <v>0</v>
      </c>
      <c r="H1043" s="1">
        <v>-400.67794799804699</v>
      </c>
    </row>
    <row r="1044" spans="1:8" ht="14.25" customHeight="1" x14ac:dyDescent="0.2">
      <c r="A1044" s="2">
        <v>46295.977222222224</v>
      </c>
      <c r="B1044" s="1">
        <v>-1400</v>
      </c>
      <c r="C1044" s="1">
        <v>288.19268798828102</v>
      </c>
      <c r="D1044" s="1">
        <v>62.5399780273438</v>
      </c>
      <c r="E1044" s="2">
        <v>46295.977222222224</v>
      </c>
      <c r="F1044" s="1">
        <v>-1400</v>
      </c>
      <c r="G1044" s="1" t="s">
        <v>0</v>
      </c>
      <c r="H1044" s="1">
        <v>-399.57443237304699</v>
      </c>
    </row>
    <row r="1045" spans="1:8" ht="14.25" customHeight="1" x14ac:dyDescent="0.2">
      <c r="A1045" s="2">
        <v>46295.977256944447</v>
      </c>
      <c r="B1045" s="1">
        <v>-1350</v>
      </c>
      <c r="C1045" s="1">
        <v>288.44683837890602</v>
      </c>
      <c r="D1045" s="1">
        <v>62.5933837890625</v>
      </c>
      <c r="E1045" s="2">
        <v>46295.977256944447</v>
      </c>
      <c r="F1045" s="1">
        <v>-1350</v>
      </c>
      <c r="G1045" s="1" t="s">
        <v>0</v>
      </c>
      <c r="H1045" s="1">
        <v>-399.31549072265602</v>
      </c>
    </row>
    <row r="1046" spans="1:8" ht="14.25" customHeight="1" x14ac:dyDescent="0.2">
      <c r="A1046" s="2">
        <v>46295.97729166667</v>
      </c>
      <c r="B1046" s="1">
        <v>-1300</v>
      </c>
      <c r="C1046" s="1">
        <v>288.63708496093801</v>
      </c>
      <c r="D1046" s="1">
        <v>62.6333618164063</v>
      </c>
      <c r="E1046" s="2">
        <v>46295.97729166667</v>
      </c>
      <c r="F1046" s="1">
        <v>-1300</v>
      </c>
      <c r="G1046" s="1" t="s">
        <v>0</v>
      </c>
      <c r="H1046" s="1">
        <v>-399.342041015625</v>
      </c>
    </row>
    <row r="1047" spans="1:8" ht="14.25" customHeight="1" x14ac:dyDescent="0.2">
      <c r="A1047" s="2">
        <v>46295.977326388886</v>
      </c>
      <c r="B1047" s="1">
        <v>-1250</v>
      </c>
      <c r="C1047" s="1">
        <v>287.976318359375</v>
      </c>
      <c r="D1047" s="1">
        <v>62.4945068359375</v>
      </c>
      <c r="E1047" s="2">
        <v>46295.977326388886</v>
      </c>
      <c r="F1047" s="1">
        <v>-1250</v>
      </c>
      <c r="G1047" s="1" t="s">
        <v>0</v>
      </c>
      <c r="H1047" s="1">
        <v>-399.59030151367199</v>
      </c>
    </row>
    <row r="1048" spans="1:8" ht="14.25" customHeight="1" x14ac:dyDescent="0.2">
      <c r="A1048" s="2">
        <v>46295.977361111109</v>
      </c>
      <c r="B1048" s="1">
        <v>-1200</v>
      </c>
      <c r="C1048" s="1">
        <v>288.18905639648398</v>
      </c>
      <c r="D1048" s="1">
        <v>62.539215087890597</v>
      </c>
      <c r="E1048" s="2">
        <v>46295.977361111109</v>
      </c>
      <c r="F1048" s="1">
        <v>-1200</v>
      </c>
      <c r="G1048" s="1" t="s">
        <v>0</v>
      </c>
      <c r="H1048" s="1">
        <v>-399.74990844726602</v>
      </c>
    </row>
    <row r="1049" spans="1:8" ht="14.25" customHeight="1" x14ac:dyDescent="0.2">
      <c r="A1049" s="2">
        <v>46295.977395833332</v>
      </c>
      <c r="B1049" s="1">
        <v>-1150</v>
      </c>
      <c r="C1049" s="1">
        <v>287.89425659179699</v>
      </c>
      <c r="D1049" s="1">
        <v>62.477264404296903</v>
      </c>
      <c r="E1049" s="2">
        <v>46295.977395833332</v>
      </c>
      <c r="F1049" s="1">
        <v>-1150</v>
      </c>
      <c r="G1049" s="1" t="s">
        <v>0</v>
      </c>
      <c r="H1049" s="1">
        <v>-399.54940795898398</v>
      </c>
    </row>
    <row r="1050" spans="1:8" ht="14.25" customHeight="1" x14ac:dyDescent="0.2">
      <c r="A1050" s="2">
        <v>46295.977430555555</v>
      </c>
      <c r="B1050" s="1">
        <v>-1100</v>
      </c>
      <c r="C1050" s="1">
        <v>288.57754516601602</v>
      </c>
      <c r="D1050" s="1">
        <v>62.620849609375</v>
      </c>
      <c r="E1050" s="2">
        <v>46295.977430555555</v>
      </c>
      <c r="F1050" s="1">
        <v>-1100</v>
      </c>
      <c r="G1050" s="1" t="s">
        <v>0</v>
      </c>
      <c r="H1050" s="1">
        <v>-399.81109619140602</v>
      </c>
    </row>
    <row r="1051" spans="1:8" ht="14.25" customHeight="1" x14ac:dyDescent="0.2">
      <c r="A1051" s="2">
        <v>46295.977465277778</v>
      </c>
      <c r="B1051" s="1">
        <v>-1050</v>
      </c>
      <c r="C1051" s="1">
        <v>288.46206665039102</v>
      </c>
      <c r="D1051" s="1">
        <v>62.596588134765597</v>
      </c>
      <c r="E1051" s="2">
        <v>46295.977465277778</v>
      </c>
      <c r="F1051" s="1">
        <v>-1050</v>
      </c>
      <c r="G1051" s="1" t="s">
        <v>0</v>
      </c>
      <c r="H1051" s="1">
        <v>-399.73114013671898</v>
      </c>
    </row>
    <row r="1052" spans="1:8" ht="14.25" customHeight="1" x14ac:dyDescent="0.2">
      <c r="A1052" s="2">
        <v>46295.977511574078</v>
      </c>
      <c r="B1052" s="1">
        <v>-1000</v>
      </c>
      <c r="C1052" s="1">
        <v>288.21810913085898</v>
      </c>
      <c r="D1052" s="1">
        <v>62.545318603515597</v>
      </c>
      <c r="E1052" s="2">
        <v>46295.977511574078</v>
      </c>
      <c r="F1052" s="1">
        <v>-1000</v>
      </c>
      <c r="G1052" s="1" t="s">
        <v>0</v>
      </c>
      <c r="H1052" s="1">
        <v>-399.89852905273398</v>
      </c>
    </row>
    <row r="1053" spans="1:8" ht="14.25" customHeight="1" x14ac:dyDescent="0.2">
      <c r="A1053" s="2">
        <v>46295.977546296293</v>
      </c>
      <c r="B1053" s="1">
        <v>-950</v>
      </c>
      <c r="C1053" s="1">
        <v>288.1142578125</v>
      </c>
      <c r="D1053" s="1">
        <v>62.5234985351563</v>
      </c>
      <c r="E1053" s="2">
        <v>46295.977546296293</v>
      </c>
      <c r="F1053" s="1">
        <v>-950</v>
      </c>
      <c r="G1053" s="1" t="s">
        <v>0</v>
      </c>
      <c r="H1053" s="1">
        <v>-399.71908569335898</v>
      </c>
    </row>
    <row r="1054" spans="1:8" ht="14.25" customHeight="1" x14ac:dyDescent="0.2">
      <c r="A1054" s="2">
        <v>46295.977581018517</v>
      </c>
      <c r="B1054" s="1">
        <v>-900</v>
      </c>
      <c r="C1054" s="1">
        <v>288.01190185546898</v>
      </c>
      <c r="D1054" s="1">
        <v>62.501983642578097</v>
      </c>
      <c r="E1054" s="2">
        <v>46295.977581018517</v>
      </c>
      <c r="F1054" s="1">
        <v>-900</v>
      </c>
      <c r="G1054" s="1" t="s">
        <v>0</v>
      </c>
      <c r="H1054" s="1">
        <v>-399.44519042968801</v>
      </c>
    </row>
    <row r="1055" spans="1:8" ht="14.25" customHeight="1" x14ac:dyDescent="0.2">
      <c r="A1055" s="2">
        <v>46295.97761574074</v>
      </c>
      <c r="B1055" s="1">
        <v>-850</v>
      </c>
      <c r="C1055" s="1">
        <v>288.31033325195301</v>
      </c>
      <c r="D1055" s="1">
        <v>62.564697265625</v>
      </c>
      <c r="E1055" s="2">
        <v>46295.97761574074</v>
      </c>
      <c r="F1055" s="1">
        <v>-850</v>
      </c>
      <c r="G1055" s="1" t="s">
        <v>0</v>
      </c>
      <c r="H1055" s="1">
        <v>-399.75448608398398</v>
      </c>
    </row>
    <row r="1056" spans="1:8" ht="14.25" customHeight="1" x14ac:dyDescent="0.2">
      <c r="A1056" s="2">
        <v>46295.977650462963</v>
      </c>
      <c r="B1056" s="1">
        <v>-800</v>
      </c>
      <c r="C1056" s="1">
        <v>288.03948974609398</v>
      </c>
      <c r="D1056" s="1">
        <v>62.507781982421903</v>
      </c>
      <c r="E1056" s="2">
        <v>46295.977650462963</v>
      </c>
      <c r="F1056" s="1">
        <v>-800</v>
      </c>
      <c r="G1056" s="1" t="s">
        <v>0</v>
      </c>
      <c r="H1056" s="1">
        <v>-399.515380859375</v>
      </c>
    </row>
    <row r="1057" spans="1:8" ht="14.25" customHeight="1" x14ac:dyDescent="0.2">
      <c r="A1057" s="2">
        <v>46295.977685185186</v>
      </c>
      <c r="B1057" s="1">
        <v>-750</v>
      </c>
      <c r="C1057" s="1">
        <v>288.11135864257801</v>
      </c>
      <c r="D1057" s="1">
        <v>62.5228881835938</v>
      </c>
      <c r="E1057" s="2">
        <v>46295.977685185186</v>
      </c>
      <c r="F1057" s="1">
        <v>-750</v>
      </c>
      <c r="G1057" s="1" t="s">
        <v>0</v>
      </c>
      <c r="H1057" s="1">
        <v>-399.80163574218801</v>
      </c>
    </row>
    <row r="1058" spans="1:8" ht="14.25" customHeight="1" x14ac:dyDescent="0.2">
      <c r="A1058" s="2">
        <v>46295.977719907409</v>
      </c>
      <c r="B1058" s="1">
        <v>-700</v>
      </c>
      <c r="C1058" s="1">
        <v>288.47515869140602</v>
      </c>
      <c r="D1058" s="1">
        <v>62.599334716796903</v>
      </c>
      <c r="E1058" s="2">
        <v>46295.977719907409</v>
      </c>
      <c r="F1058" s="1">
        <v>-700</v>
      </c>
      <c r="G1058" s="1" t="s">
        <v>0</v>
      </c>
      <c r="H1058" s="1">
        <v>-399.79354858398398</v>
      </c>
    </row>
    <row r="1059" spans="1:8" ht="14.25" customHeight="1" x14ac:dyDescent="0.2">
      <c r="A1059" s="2">
        <v>46295.977754629632</v>
      </c>
      <c r="B1059" s="1">
        <v>-650</v>
      </c>
      <c r="C1059" s="1">
        <v>287.74176025390602</v>
      </c>
      <c r="D1059" s="1">
        <v>62.445220947265597</v>
      </c>
      <c r="E1059" s="2">
        <v>46295.977754629632</v>
      </c>
      <c r="F1059" s="1">
        <v>-650</v>
      </c>
      <c r="G1059" s="1" t="s">
        <v>0</v>
      </c>
      <c r="H1059" s="1">
        <v>-399.72763061523398</v>
      </c>
    </row>
    <row r="1060" spans="1:8" ht="14.25" customHeight="1" x14ac:dyDescent="0.2">
      <c r="A1060" s="2">
        <v>46295.977789351855</v>
      </c>
      <c r="B1060" s="1">
        <v>-600</v>
      </c>
      <c r="C1060" s="1">
        <v>287.77880859375</v>
      </c>
      <c r="D1060" s="1">
        <v>62.4530029296875</v>
      </c>
      <c r="E1060" s="2">
        <v>46295.977789351855</v>
      </c>
      <c r="F1060" s="1">
        <v>-600</v>
      </c>
      <c r="G1060" s="1" t="s">
        <v>0</v>
      </c>
      <c r="H1060" s="1">
        <v>-399.79049682617199</v>
      </c>
    </row>
    <row r="1061" spans="1:8" ht="14.25" customHeight="1" x14ac:dyDescent="0.2">
      <c r="A1061" s="2">
        <v>46295.977824074071</v>
      </c>
      <c r="B1061" s="1">
        <v>-550</v>
      </c>
      <c r="C1061" s="1">
        <v>287.96832275390602</v>
      </c>
      <c r="D1061" s="1">
        <v>62.492828369140597</v>
      </c>
      <c r="E1061" s="2">
        <v>46295.977824074071</v>
      </c>
      <c r="F1061" s="1">
        <v>-550</v>
      </c>
      <c r="G1061" s="1" t="s">
        <v>0</v>
      </c>
      <c r="H1061" s="1">
        <v>-399.52239990234398</v>
      </c>
    </row>
    <row r="1062" spans="1:8" ht="14.25" customHeight="1" x14ac:dyDescent="0.2">
      <c r="A1062" s="2">
        <v>46295.977858796294</v>
      </c>
      <c r="B1062" s="1">
        <v>-500</v>
      </c>
      <c r="C1062" s="1">
        <v>287.92910766601602</v>
      </c>
      <c r="D1062" s="1">
        <v>62.484588623046903</v>
      </c>
      <c r="E1062" s="2">
        <v>46295.977858796294</v>
      </c>
      <c r="F1062" s="1">
        <v>-500</v>
      </c>
      <c r="G1062" s="1" t="s">
        <v>0</v>
      </c>
      <c r="H1062" s="1">
        <v>-399.60342407226602</v>
      </c>
    </row>
    <row r="1063" spans="1:8" ht="14.25" customHeight="1" x14ac:dyDescent="0.2">
      <c r="A1063" s="2">
        <v>46295.977893518517</v>
      </c>
      <c r="B1063" s="1">
        <v>-450</v>
      </c>
      <c r="C1063" s="1">
        <v>287.78460693359398</v>
      </c>
      <c r="D1063" s="1">
        <v>62.4542236328125</v>
      </c>
      <c r="E1063" s="2">
        <v>46295.977893518517</v>
      </c>
      <c r="F1063" s="1">
        <v>-450</v>
      </c>
      <c r="G1063" s="1" t="s">
        <v>0</v>
      </c>
      <c r="H1063" s="1">
        <v>-399.55612182617199</v>
      </c>
    </row>
    <row r="1064" spans="1:8" ht="14.25" customHeight="1" x14ac:dyDescent="0.2">
      <c r="A1064" s="2">
        <v>46295.97792824074</v>
      </c>
      <c r="B1064" s="1">
        <v>-400</v>
      </c>
      <c r="C1064" s="1">
        <v>286.76296997070301</v>
      </c>
      <c r="D1064" s="1">
        <v>62.239532470703097</v>
      </c>
      <c r="E1064" s="2">
        <v>46295.97792824074</v>
      </c>
      <c r="F1064" s="1">
        <v>-400</v>
      </c>
      <c r="G1064" s="1" t="s">
        <v>0</v>
      </c>
      <c r="H1064" s="1">
        <v>-399.76699829101602</v>
      </c>
    </row>
    <row r="1065" spans="1:8" ht="14.25" customHeight="1" x14ac:dyDescent="0.2">
      <c r="A1065" s="2">
        <v>46295.977962962963</v>
      </c>
      <c r="B1065" s="1">
        <v>-350</v>
      </c>
      <c r="C1065" s="1">
        <v>287.34313964843801</v>
      </c>
      <c r="D1065" s="1">
        <v>62.3614501953125</v>
      </c>
      <c r="E1065" s="2">
        <v>46295.977962962963</v>
      </c>
      <c r="F1065" s="1">
        <v>-350</v>
      </c>
      <c r="G1065" s="1" t="s">
        <v>0</v>
      </c>
      <c r="H1065" s="1">
        <v>-399.71893310546898</v>
      </c>
    </row>
    <row r="1066" spans="1:8" ht="14.25" customHeight="1" x14ac:dyDescent="0.2">
      <c r="A1066" s="2">
        <v>46295.977997685186</v>
      </c>
      <c r="B1066" s="1">
        <v>-300</v>
      </c>
      <c r="C1066" s="1">
        <v>286.64025878906301</v>
      </c>
      <c r="D1066" s="1">
        <v>62.2137451171875</v>
      </c>
      <c r="E1066" s="2">
        <v>46295.977997685186</v>
      </c>
      <c r="F1066" s="1">
        <v>-300</v>
      </c>
      <c r="G1066" s="1" t="s">
        <v>0</v>
      </c>
      <c r="H1066" s="1">
        <v>-399.70153808593801</v>
      </c>
    </row>
    <row r="1067" spans="1:8" ht="14.25" customHeight="1" x14ac:dyDescent="0.2">
      <c r="A1067" s="2">
        <v>46295.978032407409</v>
      </c>
      <c r="B1067" s="1">
        <v>-250</v>
      </c>
      <c r="C1067" s="1">
        <v>285.31582641601602</v>
      </c>
      <c r="D1067" s="1">
        <v>61.9354248046875</v>
      </c>
      <c r="E1067" s="2">
        <v>46295.978032407409</v>
      </c>
      <c r="F1067" s="1">
        <v>-250</v>
      </c>
      <c r="G1067" s="1" t="s">
        <v>0</v>
      </c>
      <c r="H1067" s="1">
        <v>-399.75509643554699</v>
      </c>
    </row>
    <row r="1068" spans="1:8" ht="14.25" customHeight="1" x14ac:dyDescent="0.2">
      <c r="A1068" s="2">
        <v>46295.978067129632</v>
      </c>
      <c r="B1068" s="1">
        <v>-200</v>
      </c>
      <c r="C1068" s="1">
        <v>277.48611450195301</v>
      </c>
      <c r="D1068" s="1">
        <v>60.290069580078097</v>
      </c>
      <c r="E1068" s="2">
        <v>46295.978067129632</v>
      </c>
      <c r="F1068" s="1">
        <v>-200</v>
      </c>
      <c r="G1068" s="1" t="s">
        <v>0</v>
      </c>
      <c r="H1068" s="1">
        <v>-399.55810546875</v>
      </c>
    </row>
    <row r="1069" spans="1:8" ht="14.25" customHeight="1" x14ac:dyDescent="0.2">
      <c r="A1069" s="2">
        <v>46295.978101851855</v>
      </c>
      <c r="B1069" s="1">
        <v>-150</v>
      </c>
      <c r="C1069" s="1">
        <v>271.12753295898398</v>
      </c>
      <c r="D1069" s="1">
        <v>58.953857421875</v>
      </c>
      <c r="E1069" s="2">
        <v>46295.978101851855</v>
      </c>
      <c r="F1069" s="1">
        <v>-150</v>
      </c>
      <c r="G1069" s="1" t="s">
        <v>0</v>
      </c>
      <c r="H1069" s="1">
        <v>-399.62951660156301</v>
      </c>
    </row>
    <row r="1070" spans="1:8" ht="14.25" customHeight="1" x14ac:dyDescent="0.2">
      <c r="A1070" s="2">
        <v>46295.978136574071</v>
      </c>
      <c r="B1070" s="1">
        <v>-100</v>
      </c>
      <c r="C1070" s="1">
        <v>264.69198608398398</v>
      </c>
      <c r="D1070" s="1">
        <v>57.601470947265597</v>
      </c>
      <c r="E1070" s="2">
        <v>46295.978136574071</v>
      </c>
      <c r="F1070" s="1">
        <v>-100</v>
      </c>
      <c r="G1070" s="1" t="s">
        <v>0</v>
      </c>
      <c r="H1070" s="1">
        <v>-399.45632934570301</v>
      </c>
    </row>
    <row r="1071" spans="1:8" ht="14.25" customHeight="1" x14ac:dyDescent="0.2">
      <c r="A1071" s="2">
        <v>46295.978171296294</v>
      </c>
      <c r="B1071" s="1">
        <v>-50</v>
      </c>
      <c r="C1071" s="1">
        <v>252.07644653320301</v>
      </c>
      <c r="D1071" s="1">
        <v>54.950408935546903</v>
      </c>
      <c r="E1071" s="2">
        <v>46295.978171296294</v>
      </c>
      <c r="F1071" s="1">
        <v>-50</v>
      </c>
      <c r="G1071" s="1" t="s">
        <v>0</v>
      </c>
      <c r="H1071" s="1">
        <v>-399.54055786132801</v>
      </c>
    </row>
    <row r="1072" spans="1:8" ht="14.25" customHeight="1" x14ac:dyDescent="0.2">
      <c r="A1072" s="2">
        <v>46295.978206018517</v>
      </c>
      <c r="B1072" s="1">
        <v>0</v>
      </c>
      <c r="C1072" s="1">
        <v>241.67121887207</v>
      </c>
      <c r="D1072" s="1">
        <v>52.763824462890597</v>
      </c>
      <c r="E1072" s="2">
        <v>46295.978206018517</v>
      </c>
      <c r="F1072" s="1">
        <v>0</v>
      </c>
      <c r="G1072" s="1" t="s">
        <v>0</v>
      </c>
      <c r="H1072" s="1">
        <v>-399.63806152343801</v>
      </c>
    </row>
    <row r="1073" spans="1:8" ht="14.25" customHeight="1" x14ac:dyDescent="0.2">
      <c r="A1073" s="2">
        <v>46295.97824074074</v>
      </c>
      <c r="B1073" s="1">
        <v>50</v>
      </c>
      <c r="C1073" s="1">
        <v>231.93618774414099</v>
      </c>
      <c r="D1073" s="1">
        <v>50.7180786132813</v>
      </c>
      <c r="E1073" s="2">
        <v>46295.97824074074</v>
      </c>
      <c r="F1073" s="1">
        <v>50</v>
      </c>
      <c r="G1073" s="1" t="s">
        <v>0</v>
      </c>
      <c r="H1073" s="1">
        <v>-400.05355834960898</v>
      </c>
    </row>
    <row r="1074" spans="1:8" ht="14.25" customHeight="1" x14ac:dyDescent="0.2">
      <c r="A1074" s="2">
        <v>46295.978275462963</v>
      </c>
      <c r="B1074" s="1">
        <v>100</v>
      </c>
      <c r="C1074" s="1">
        <v>215.57173156738301</v>
      </c>
      <c r="D1074" s="1">
        <v>47.279205322265597</v>
      </c>
      <c r="E1074" s="2">
        <v>46295.978275462963</v>
      </c>
      <c r="F1074" s="1">
        <v>100</v>
      </c>
      <c r="G1074" s="1" t="s">
        <v>0</v>
      </c>
      <c r="H1074" s="1">
        <v>-400.64605712890602</v>
      </c>
    </row>
    <row r="1075" spans="1:8" ht="14.25" customHeight="1" x14ac:dyDescent="0.2">
      <c r="A1075" s="2">
        <v>46295.978310185186</v>
      </c>
      <c r="B1075" s="1">
        <v>150</v>
      </c>
      <c r="C1075" s="1">
        <v>198.75926208496099</v>
      </c>
      <c r="D1075" s="1">
        <v>43.746185302734403</v>
      </c>
      <c r="E1075" s="2">
        <v>46295.978310185186</v>
      </c>
      <c r="F1075" s="1">
        <v>150</v>
      </c>
      <c r="G1075" s="1" t="s">
        <v>0</v>
      </c>
      <c r="H1075" s="1">
        <v>-399.864501953125</v>
      </c>
    </row>
    <row r="1076" spans="1:8" ht="14.25" customHeight="1" x14ac:dyDescent="0.2">
      <c r="A1076" s="2">
        <v>46295.978344907409</v>
      </c>
      <c r="B1076" s="1">
        <v>200</v>
      </c>
      <c r="C1076" s="1">
        <v>183.31333923339801</v>
      </c>
      <c r="D1076" s="1">
        <v>40.500335693359403</v>
      </c>
      <c r="E1076" s="2">
        <v>46295.978344907409</v>
      </c>
      <c r="F1076" s="1">
        <v>200</v>
      </c>
      <c r="G1076" s="1" t="s">
        <v>0</v>
      </c>
      <c r="H1076" s="1">
        <v>-399.76379394531301</v>
      </c>
    </row>
    <row r="1077" spans="1:8" ht="14.25" customHeight="1" x14ac:dyDescent="0.2">
      <c r="A1077" s="2">
        <v>46295.978379629632</v>
      </c>
      <c r="B1077" s="1">
        <v>250</v>
      </c>
      <c r="C1077" s="1">
        <v>169.75314331054699</v>
      </c>
      <c r="D1077" s="1">
        <v>37.6507568359375</v>
      </c>
      <c r="E1077" s="2">
        <v>46295.978379629632</v>
      </c>
      <c r="F1077" s="1">
        <v>250</v>
      </c>
      <c r="G1077" s="1" t="s">
        <v>0</v>
      </c>
      <c r="H1077" s="1">
        <v>-399.92370605468801</v>
      </c>
    </row>
    <row r="1078" spans="1:8" ht="14.25" customHeight="1" x14ac:dyDescent="0.2">
      <c r="A1078" s="2">
        <v>46295.978414351855</v>
      </c>
      <c r="B1078" s="1">
        <v>300</v>
      </c>
      <c r="C1078" s="1">
        <v>158.36911010742199</v>
      </c>
      <c r="D1078" s="1">
        <v>35.2584838867188</v>
      </c>
      <c r="E1078" s="2">
        <v>46295.978414351855</v>
      </c>
      <c r="F1078" s="1">
        <v>300</v>
      </c>
      <c r="G1078" s="1" t="s">
        <v>0</v>
      </c>
      <c r="H1078" s="1">
        <v>-400.04791259765602</v>
      </c>
    </row>
    <row r="1079" spans="1:8" ht="14.25" customHeight="1" x14ac:dyDescent="0.2">
      <c r="A1079" s="2">
        <v>46295.978449074071</v>
      </c>
      <c r="B1079" s="1">
        <v>350</v>
      </c>
      <c r="C1079" s="1">
        <v>147.93482971191401</v>
      </c>
      <c r="D1079" s="1">
        <v>33.0657958984375</v>
      </c>
      <c r="E1079" s="2">
        <v>46295.978449074071</v>
      </c>
      <c r="F1079" s="1">
        <v>350</v>
      </c>
      <c r="G1079" s="1" t="s">
        <v>0</v>
      </c>
      <c r="H1079" s="1">
        <v>-399.50164794921898</v>
      </c>
    </row>
    <row r="1080" spans="1:8" ht="14.25" customHeight="1" x14ac:dyDescent="0.2">
      <c r="A1080" s="2">
        <v>46295.978483796294</v>
      </c>
      <c r="B1080" s="1">
        <v>400</v>
      </c>
      <c r="C1080" s="1">
        <v>137.41415405273401</v>
      </c>
      <c r="D1080" s="1">
        <v>30.8549499511719</v>
      </c>
      <c r="E1080" s="2">
        <v>46295.978483796294</v>
      </c>
      <c r="F1080" s="1">
        <v>400</v>
      </c>
      <c r="G1080" s="1" t="s">
        <v>0</v>
      </c>
      <c r="H1080" s="1">
        <v>-400.40298461914102</v>
      </c>
    </row>
    <row r="1081" spans="1:8" ht="14.25" customHeight="1" x14ac:dyDescent="0.2">
      <c r="A1081" s="2">
        <v>46295.978518518517</v>
      </c>
      <c r="B1081" s="1">
        <v>450</v>
      </c>
      <c r="C1081" s="1">
        <v>128.34933471679699</v>
      </c>
      <c r="D1081" s="1">
        <v>28.9500427246094</v>
      </c>
      <c r="E1081" s="2">
        <v>46295.978518518517</v>
      </c>
      <c r="F1081" s="1">
        <v>450</v>
      </c>
      <c r="G1081" s="1" t="s">
        <v>0</v>
      </c>
      <c r="H1081" s="1">
        <v>-400.01739501953102</v>
      </c>
    </row>
    <row r="1082" spans="1:8" ht="14.25" customHeight="1" x14ac:dyDescent="0.2">
      <c r="A1082" s="2">
        <v>46295.97855324074</v>
      </c>
      <c r="B1082" s="1">
        <v>500</v>
      </c>
      <c r="C1082" s="1">
        <v>119.05796051025401</v>
      </c>
      <c r="D1082" s="1">
        <v>26.9975280761719</v>
      </c>
      <c r="E1082" s="2">
        <v>46295.97855324074</v>
      </c>
      <c r="F1082" s="1">
        <v>500</v>
      </c>
      <c r="G1082" s="1" t="s">
        <v>0</v>
      </c>
      <c r="H1082" s="1">
        <v>-400.22674560546898</v>
      </c>
    </row>
    <row r="1083" spans="1:8" ht="14.25" customHeight="1" x14ac:dyDescent="0.2">
      <c r="A1083" s="2">
        <v>46295.978587962964</v>
      </c>
      <c r="B1083" s="1">
        <v>550</v>
      </c>
      <c r="C1083" s="1">
        <v>110.17031097412099</v>
      </c>
      <c r="D1083" s="1">
        <v>25.1298522949219</v>
      </c>
      <c r="E1083" s="2">
        <v>46295.978587962964</v>
      </c>
      <c r="F1083" s="1">
        <v>550</v>
      </c>
      <c r="G1083" s="1" t="s">
        <v>0</v>
      </c>
      <c r="H1083" s="1">
        <v>-399.96444702148398</v>
      </c>
    </row>
    <row r="1084" spans="1:8" ht="14.25" customHeight="1" x14ac:dyDescent="0.2">
      <c r="A1084" s="2">
        <v>46295.978622685187</v>
      </c>
      <c r="B1084" s="1">
        <v>600</v>
      </c>
      <c r="C1084" s="1">
        <v>101.395210266113</v>
      </c>
      <c r="D1084" s="1">
        <v>23.2858276367188</v>
      </c>
      <c r="E1084" s="2">
        <v>46295.978622685187</v>
      </c>
      <c r="F1084" s="1">
        <v>600</v>
      </c>
      <c r="G1084" s="1" t="s">
        <v>0</v>
      </c>
      <c r="H1084" s="1">
        <v>-400.02395629882801</v>
      </c>
    </row>
    <row r="1085" spans="1:8" ht="14.25" customHeight="1" x14ac:dyDescent="0.2">
      <c r="A1085" s="2">
        <v>46295.97865740741</v>
      </c>
      <c r="B1085" s="1">
        <v>650</v>
      </c>
      <c r="C1085" s="1">
        <v>93.538642883300795</v>
      </c>
      <c r="D1085" s="1">
        <v>21.6348266601563</v>
      </c>
      <c r="E1085" s="2">
        <v>46295.97865740741</v>
      </c>
      <c r="F1085" s="1">
        <v>650</v>
      </c>
      <c r="G1085" s="1" t="s">
        <v>0</v>
      </c>
      <c r="H1085" s="1">
        <v>-400.08255004882801</v>
      </c>
    </row>
    <row r="1086" spans="1:8" ht="14.25" customHeight="1" x14ac:dyDescent="0.2">
      <c r="A1086" s="2">
        <v>46295.978692129633</v>
      </c>
      <c r="B1086" s="1">
        <v>700</v>
      </c>
      <c r="C1086" s="1">
        <v>86.074905395507798</v>
      </c>
      <c r="D1086" s="1">
        <v>20.0663757324219</v>
      </c>
      <c r="E1086" s="2">
        <v>46295.978692129633</v>
      </c>
      <c r="F1086" s="1">
        <v>700</v>
      </c>
      <c r="G1086" s="1" t="s">
        <v>0</v>
      </c>
      <c r="H1086" s="1">
        <v>-399.81994628906301</v>
      </c>
    </row>
    <row r="1087" spans="1:8" ht="14.25" customHeight="1" x14ac:dyDescent="0.2">
      <c r="A1087" s="2">
        <v>46295.978726851848</v>
      </c>
      <c r="B1087" s="1">
        <v>750</v>
      </c>
      <c r="C1087" s="1">
        <v>78.206718444824205</v>
      </c>
      <c r="D1087" s="1">
        <v>18.4129333496094</v>
      </c>
      <c r="E1087" s="2">
        <v>46295.978726851848</v>
      </c>
      <c r="F1087" s="1">
        <v>750</v>
      </c>
      <c r="G1087" s="1" t="s">
        <v>0</v>
      </c>
      <c r="H1087" s="1">
        <v>-399.32296752929699</v>
      </c>
    </row>
    <row r="1088" spans="1:8" ht="14.25" customHeight="1" x14ac:dyDescent="0.2">
      <c r="A1088" s="2">
        <v>46295.978761574072</v>
      </c>
      <c r="B1088" s="1">
        <v>800</v>
      </c>
      <c r="C1088" s="1">
        <v>71.548240661621094</v>
      </c>
      <c r="D1088" s="1">
        <v>17.0137023925781</v>
      </c>
      <c r="E1088" s="2">
        <v>46295.978761574072</v>
      </c>
      <c r="F1088" s="1">
        <v>800</v>
      </c>
      <c r="G1088" s="1" t="s">
        <v>0</v>
      </c>
      <c r="H1088" s="1">
        <v>-399.76364135742199</v>
      </c>
    </row>
    <row r="1089" spans="1:8" ht="14.25" customHeight="1" x14ac:dyDescent="0.2">
      <c r="A1089" s="2">
        <v>46295.978796296295</v>
      </c>
      <c r="B1089" s="1">
        <v>850</v>
      </c>
      <c r="C1089" s="1">
        <v>63.498531341552699</v>
      </c>
      <c r="D1089" s="1">
        <v>15.3221130371094</v>
      </c>
      <c r="E1089" s="2">
        <v>46295.978796296295</v>
      </c>
      <c r="F1089" s="1">
        <v>850</v>
      </c>
      <c r="G1089" s="1" t="s">
        <v>0</v>
      </c>
      <c r="H1089" s="1">
        <v>-399.93453979492199</v>
      </c>
    </row>
    <row r="1090" spans="1:8" ht="14.25" customHeight="1" x14ac:dyDescent="0.2">
      <c r="A1090" s="2">
        <v>46295.978831018518</v>
      </c>
      <c r="B1090" s="1">
        <v>900</v>
      </c>
      <c r="C1090" s="1">
        <v>55.559913635253899</v>
      </c>
      <c r="D1090" s="1">
        <v>13.6538696289063</v>
      </c>
      <c r="E1090" s="2">
        <v>46295.978831018518</v>
      </c>
      <c r="F1090" s="1">
        <v>900</v>
      </c>
      <c r="G1090" s="1" t="s">
        <v>0</v>
      </c>
      <c r="H1090" s="1">
        <v>-399.8681640625</v>
      </c>
    </row>
    <row r="1091" spans="1:8" ht="14.25" customHeight="1" x14ac:dyDescent="0.2">
      <c r="A1091" s="2">
        <v>46295.978865740741</v>
      </c>
      <c r="B1091" s="1">
        <v>950</v>
      </c>
      <c r="C1091" s="1">
        <v>48.249385833740199</v>
      </c>
      <c r="D1091" s="1">
        <v>12.1176147460938</v>
      </c>
      <c r="E1091" s="2">
        <v>46295.978865740741</v>
      </c>
      <c r="F1091" s="1">
        <v>950</v>
      </c>
      <c r="G1091" s="1" t="s">
        <v>0</v>
      </c>
      <c r="H1091" s="1">
        <v>-397.79373168945301</v>
      </c>
    </row>
    <row r="1092" spans="1:8" ht="14.25" customHeight="1" x14ac:dyDescent="0.2">
      <c r="A1092" s="2">
        <v>46295.978900462964</v>
      </c>
      <c r="B1092" s="1">
        <v>1000</v>
      </c>
      <c r="C1092" s="1">
        <v>43.242095947265597</v>
      </c>
      <c r="D1092" s="1">
        <v>11.0653686523438</v>
      </c>
      <c r="E1092" s="2">
        <v>46295.978900462964</v>
      </c>
      <c r="F1092" s="1">
        <v>1000</v>
      </c>
      <c r="G1092" s="1" t="s">
        <v>0</v>
      </c>
      <c r="H1092" s="1">
        <v>-400.04058837890602</v>
      </c>
    </row>
    <row r="1093" spans="1:8" ht="14.25" customHeight="1" x14ac:dyDescent="0.2">
      <c r="A1093" s="2">
        <v>46295.978935185187</v>
      </c>
      <c r="B1093" s="1">
        <v>1050</v>
      </c>
      <c r="C1093" s="1">
        <v>37.994461059570298</v>
      </c>
      <c r="D1093" s="1">
        <v>9.9626159667968803</v>
      </c>
      <c r="E1093" s="2">
        <v>46295.978935185187</v>
      </c>
      <c r="F1093" s="1">
        <v>1050</v>
      </c>
      <c r="G1093" s="1" t="s">
        <v>0</v>
      </c>
      <c r="H1093" s="1">
        <v>-399.83245849609398</v>
      </c>
    </row>
    <row r="1094" spans="1:8" ht="14.25" customHeight="1" x14ac:dyDescent="0.2">
      <c r="A1094" s="2">
        <v>46295.97896990741</v>
      </c>
      <c r="B1094" s="1">
        <v>1100</v>
      </c>
      <c r="C1094" s="1">
        <v>33.522315979003899</v>
      </c>
      <c r="D1094" s="1">
        <v>9.0228271484375</v>
      </c>
      <c r="E1094" s="2">
        <v>46295.97896990741</v>
      </c>
      <c r="F1094" s="1">
        <v>1100</v>
      </c>
      <c r="G1094" s="1" t="s">
        <v>0</v>
      </c>
      <c r="H1094" s="1">
        <v>-399.83184814453102</v>
      </c>
    </row>
    <row r="1095" spans="1:8" ht="14.25" customHeight="1" x14ac:dyDescent="0.2">
      <c r="A1095" s="2">
        <v>46295.979004629633</v>
      </c>
      <c r="B1095" s="1">
        <v>1150</v>
      </c>
      <c r="C1095" s="1">
        <v>27.611740112304702</v>
      </c>
      <c r="D1095" s="1">
        <v>7.78076171875</v>
      </c>
      <c r="E1095" s="2">
        <v>46295.979004629633</v>
      </c>
      <c r="F1095" s="1">
        <v>1150</v>
      </c>
      <c r="G1095" s="1" t="s">
        <v>0</v>
      </c>
      <c r="H1095" s="1">
        <v>-400.19088745117199</v>
      </c>
    </row>
    <row r="1096" spans="1:8" ht="14.25" customHeight="1" x14ac:dyDescent="0.2">
      <c r="A1096" s="2">
        <v>46295.979039351849</v>
      </c>
      <c r="B1096" s="1">
        <v>1200</v>
      </c>
      <c r="C1096" s="1">
        <v>23.115634918212901</v>
      </c>
      <c r="D1096" s="1">
        <v>6.8359375</v>
      </c>
      <c r="E1096" s="2">
        <v>46295.979039351849</v>
      </c>
      <c r="F1096" s="1">
        <v>1200</v>
      </c>
      <c r="G1096" s="1" t="s">
        <v>0</v>
      </c>
      <c r="H1096" s="1">
        <v>-399.04357910156301</v>
      </c>
    </row>
    <row r="1097" spans="1:8" ht="14.25" customHeight="1" x14ac:dyDescent="0.2">
      <c r="A1097" s="2">
        <v>46295.979074074072</v>
      </c>
      <c r="B1097" s="1">
        <v>1250</v>
      </c>
      <c r="C1097" s="1">
        <v>19.423337936401399</v>
      </c>
      <c r="D1097" s="1">
        <v>6.0600280761718803</v>
      </c>
      <c r="E1097" s="2">
        <v>46295.979074074072</v>
      </c>
      <c r="F1097" s="1">
        <v>1250</v>
      </c>
      <c r="G1097" s="1" t="s">
        <v>0</v>
      </c>
      <c r="H1097" s="1">
        <v>-399.56512451171898</v>
      </c>
    </row>
    <row r="1098" spans="1:8" ht="14.25" customHeight="1" x14ac:dyDescent="0.2">
      <c r="A1098" s="2">
        <v>46295.979108796295</v>
      </c>
      <c r="B1098" s="1">
        <v>1300</v>
      </c>
      <c r="C1098" s="1">
        <v>16.0185852050781</v>
      </c>
      <c r="D1098" s="1">
        <v>5.34454345703125</v>
      </c>
      <c r="E1098" s="2">
        <v>46295.979108796295</v>
      </c>
      <c r="F1098" s="1">
        <v>1300</v>
      </c>
      <c r="G1098" s="1" t="s">
        <v>0</v>
      </c>
      <c r="H1098" s="1">
        <v>-399.35531616210898</v>
      </c>
    </row>
    <row r="1099" spans="1:8" ht="14.25" customHeight="1" x14ac:dyDescent="0.2">
      <c r="A1099" s="2">
        <v>46295.979143518518</v>
      </c>
      <c r="B1099" s="1">
        <v>1350</v>
      </c>
      <c r="C1099" s="1">
        <v>12.636340141296399</v>
      </c>
      <c r="D1099" s="1">
        <v>4.6337890625</v>
      </c>
      <c r="E1099" s="2">
        <v>46295.979143518518</v>
      </c>
      <c r="F1099" s="1">
        <v>1350</v>
      </c>
      <c r="G1099" s="1" t="s">
        <v>0</v>
      </c>
      <c r="H1099" s="1">
        <v>-399.12979125976602</v>
      </c>
    </row>
    <row r="1100" spans="1:8" ht="14.25" customHeight="1" x14ac:dyDescent="0.2">
      <c r="A1100" s="2">
        <v>46295.979178240741</v>
      </c>
      <c r="B1100" s="1">
        <v>1400</v>
      </c>
      <c r="C1100" s="1">
        <v>9.3383245468139595</v>
      </c>
      <c r="D1100" s="1">
        <v>3.94073486328125</v>
      </c>
      <c r="E1100" s="2">
        <v>46295.979178240741</v>
      </c>
      <c r="F1100" s="1">
        <v>1400</v>
      </c>
      <c r="G1100" s="1" t="s">
        <v>0</v>
      </c>
      <c r="H1100" s="1">
        <v>-399.26055908203102</v>
      </c>
    </row>
    <row r="1101" spans="1:8" ht="14.25" customHeight="1" x14ac:dyDescent="0.2">
      <c r="A1101" s="2">
        <v>46295.979212962964</v>
      </c>
      <c r="B1101" s="1">
        <v>1450</v>
      </c>
      <c r="C1101" s="1">
        <v>6.9791769981384304</v>
      </c>
      <c r="D1101" s="1">
        <v>3.4449768066406299</v>
      </c>
      <c r="E1101" s="2">
        <v>46295.979212962964</v>
      </c>
      <c r="F1101" s="1">
        <v>1450</v>
      </c>
      <c r="G1101" s="1" t="s">
        <v>0</v>
      </c>
      <c r="H1101" s="1">
        <v>-399.44107055664102</v>
      </c>
    </row>
    <row r="1102" spans="1:8" ht="14.25" customHeight="1" x14ac:dyDescent="0.2">
      <c r="A1102" s="2">
        <v>46295.979247685187</v>
      </c>
      <c r="B1102" s="1">
        <v>1500</v>
      </c>
      <c r="C1102" s="1">
        <v>4.97727727890015</v>
      </c>
      <c r="D1102" s="1">
        <v>3.0242919921875</v>
      </c>
      <c r="E1102" s="2">
        <v>46295.979247685187</v>
      </c>
      <c r="F1102" s="1">
        <v>1500</v>
      </c>
      <c r="G1102" s="1" t="s">
        <v>0</v>
      </c>
      <c r="H1102" s="1">
        <v>-399.25811767578102</v>
      </c>
    </row>
    <row r="1103" spans="1:8" ht="14.25" customHeight="1" x14ac:dyDescent="0.2">
      <c r="A1103" s="2">
        <v>46295.97928240741</v>
      </c>
      <c r="B1103" s="1">
        <v>1550</v>
      </c>
      <c r="C1103" s="1">
        <v>3.50398969650269</v>
      </c>
      <c r="D1103" s="1">
        <v>2.7146911621093799</v>
      </c>
      <c r="E1103" s="2">
        <v>46295.97928240741</v>
      </c>
      <c r="F1103" s="1">
        <v>1550</v>
      </c>
      <c r="G1103" s="1" t="s">
        <v>0</v>
      </c>
      <c r="H1103" s="1">
        <v>-399.4140625</v>
      </c>
    </row>
    <row r="1104" spans="1:8" ht="14.25" customHeight="1" x14ac:dyDescent="0.2">
      <c r="A1104" s="2">
        <v>46295.979317129626</v>
      </c>
      <c r="B1104" s="1">
        <v>1600</v>
      </c>
      <c r="C1104" s="1">
        <v>2.39956831932068</v>
      </c>
      <c r="D1104" s="1">
        <v>2.48260498046875</v>
      </c>
      <c r="E1104" s="2">
        <v>46295.979317129626</v>
      </c>
      <c r="F1104" s="1">
        <v>1600</v>
      </c>
      <c r="G1104" s="1" t="s">
        <v>0</v>
      </c>
      <c r="H1104" s="1">
        <v>-399.12567138671898</v>
      </c>
    </row>
    <row r="1105" spans="1:8" ht="14.25" customHeight="1" x14ac:dyDescent="0.2">
      <c r="A1105" s="2">
        <v>46295.979351851849</v>
      </c>
      <c r="B1105" s="1">
        <v>1650</v>
      </c>
      <c r="C1105" s="1">
        <v>1.2109178304672199</v>
      </c>
      <c r="D1105" s="1">
        <v>2.2328186035156299</v>
      </c>
      <c r="E1105" s="2">
        <v>46295.979351851849</v>
      </c>
      <c r="F1105" s="1">
        <v>1650</v>
      </c>
      <c r="G1105" s="1" t="s">
        <v>0</v>
      </c>
      <c r="H1105" s="1">
        <v>-399.30511474609398</v>
      </c>
    </row>
    <row r="1106" spans="1:8" ht="14.25" customHeight="1" x14ac:dyDescent="0.2">
      <c r="A1106" s="2">
        <v>46295.979386574072</v>
      </c>
      <c r="B1106" s="1">
        <v>1700</v>
      </c>
      <c r="C1106" s="1">
        <v>0.44123581051826499</v>
      </c>
      <c r="D1106" s="1">
        <v>2.0710754394531299</v>
      </c>
      <c r="E1106" s="2">
        <v>46295.979386574072</v>
      </c>
      <c r="F1106" s="1">
        <v>1700</v>
      </c>
      <c r="G1106" s="1" t="s">
        <v>0</v>
      </c>
      <c r="H1106" s="1">
        <v>-399.52087402343801</v>
      </c>
    </row>
    <row r="1107" spans="1:8" ht="14.25" customHeight="1" x14ac:dyDescent="0.2">
      <c r="A1107" s="2">
        <v>46295.979421296295</v>
      </c>
      <c r="B1107" s="1">
        <v>1750</v>
      </c>
      <c r="C1107" s="1">
        <v>5.9299215674400302E-2</v>
      </c>
      <c r="D1107" s="1">
        <v>1.9908142089843801</v>
      </c>
      <c r="E1107" s="2">
        <v>46295.979421296295</v>
      </c>
      <c r="F1107" s="1">
        <v>1750</v>
      </c>
      <c r="G1107" s="1" t="s">
        <v>0</v>
      </c>
      <c r="H1107" s="1">
        <v>-399.54132080078102</v>
      </c>
    </row>
    <row r="1108" spans="1:8" ht="14.25" customHeight="1" x14ac:dyDescent="0.2">
      <c r="A1108" s="2">
        <v>46295.979456018518</v>
      </c>
      <c r="B1108" s="1">
        <v>1800</v>
      </c>
      <c r="C1108" s="1">
        <v>-0.112790077924728</v>
      </c>
      <c r="D1108" s="1">
        <v>1.95465087890625</v>
      </c>
      <c r="E1108" s="2">
        <v>46295.979456018518</v>
      </c>
      <c r="F1108" s="1">
        <v>1800</v>
      </c>
      <c r="G1108" s="1" t="s">
        <v>0</v>
      </c>
      <c r="H1108" s="1">
        <v>-399.48471069335898</v>
      </c>
    </row>
    <row r="1109" spans="1:8" ht="14.25" customHeight="1" x14ac:dyDescent="0.2">
      <c r="A1109" s="2">
        <v>46295.979490740741</v>
      </c>
      <c r="B1109" s="1">
        <v>1850</v>
      </c>
      <c r="C1109" s="1">
        <v>-0.18757994472980499</v>
      </c>
      <c r="D1109" s="1">
        <v>1.9389343261718801</v>
      </c>
      <c r="E1109" s="2">
        <v>46295.979490740741</v>
      </c>
      <c r="F1109" s="1">
        <v>1850</v>
      </c>
      <c r="G1109" s="1" t="s">
        <v>0</v>
      </c>
      <c r="H1109" s="1">
        <v>-399.461669921875</v>
      </c>
    </row>
    <row r="1110" spans="1:8" ht="14.25" customHeight="1" x14ac:dyDescent="0.2">
      <c r="A1110" s="2">
        <v>46295.979525462964</v>
      </c>
      <c r="B1110" s="1">
        <v>1900</v>
      </c>
      <c r="C1110" s="1">
        <v>-0.25728699564933799</v>
      </c>
      <c r="D1110" s="1">
        <v>1.9242858886718801</v>
      </c>
      <c r="E1110" s="2">
        <v>46295.979525462964</v>
      </c>
      <c r="F1110" s="1">
        <v>1900</v>
      </c>
      <c r="G1110" s="1" t="s">
        <v>0</v>
      </c>
      <c r="H1110" s="1">
        <v>-399.71847534179699</v>
      </c>
    </row>
    <row r="1111" spans="1:8" ht="14.25" customHeight="1" x14ac:dyDescent="0.2">
      <c r="A1111" s="2">
        <v>46295.979560185187</v>
      </c>
      <c r="B1111" s="1">
        <v>1950</v>
      </c>
      <c r="C1111" s="1">
        <v>-0.29722332954406699</v>
      </c>
      <c r="D1111" s="1">
        <v>1.9158935546875</v>
      </c>
      <c r="E1111" s="2">
        <v>46295.979560185187</v>
      </c>
      <c r="F1111" s="1">
        <v>1950</v>
      </c>
      <c r="G1111" s="1" t="s">
        <v>0</v>
      </c>
      <c r="H1111" s="1">
        <v>-399.66201782226602</v>
      </c>
    </row>
    <row r="1112" spans="1:8" ht="14.25" customHeight="1" x14ac:dyDescent="0.2">
      <c r="A1112" s="2">
        <v>46295.979594907411</v>
      </c>
      <c r="B1112" s="1">
        <v>2000</v>
      </c>
      <c r="C1112" s="1">
        <v>-0.28996217250824002</v>
      </c>
      <c r="D1112" s="1">
        <v>1.91741943359375</v>
      </c>
      <c r="E1112" s="2">
        <v>46295.979594907411</v>
      </c>
      <c r="F1112" s="1">
        <v>2000</v>
      </c>
      <c r="G1112" s="1" t="s">
        <v>0</v>
      </c>
      <c r="H1112" s="1">
        <v>-400.53573608398398</v>
      </c>
    </row>
    <row r="1113" spans="1:8" ht="14.25" customHeight="1" x14ac:dyDescent="0.2">
      <c r="A1113" s="2">
        <v>46295.979629629626</v>
      </c>
      <c r="B1113" s="1">
        <v>2050</v>
      </c>
      <c r="C1113" s="1">
        <v>-0.29431888461112998</v>
      </c>
      <c r="D1113" s="1">
        <v>1.91650390625</v>
      </c>
      <c r="E1113" s="2">
        <v>46295.979629629626</v>
      </c>
      <c r="F1113" s="1">
        <v>2050</v>
      </c>
      <c r="G1113" s="1" t="s">
        <v>0</v>
      </c>
      <c r="H1113" s="1">
        <v>-399.81689453125</v>
      </c>
    </row>
    <row r="1114" spans="1:8" ht="14.25" customHeight="1" x14ac:dyDescent="0.2">
      <c r="A1114" s="2">
        <v>46295.979664351849</v>
      </c>
      <c r="B1114" s="1">
        <v>2100</v>
      </c>
      <c r="C1114" s="1">
        <v>-0.35095584392547602</v>
      </c>
      <c r="D1114" s="1">
        <v>1.90460205078125</v>
      </c>
      <c r="E1114" s="2">
        <v>46295.979664351849</v>
      </c>
      <c r="F1114" s="1">
        <v>2100</v>
      </c>
      <c r="G1114" s="1" t="s">
        <v>0</v>
      </c>
      <c r="H1114" s="1">
        <v>-399.989013671875</v>
      </c>
    </row>
    <row r="1115" spans="1:8" ht="14.25" customHeight="1" x14ac:dyDescent="0.2">
      <c r="A1115" s="2">
        <v>46295.979699074072</v>
      </c>
      <c r="B1115" s="1">
        <v>2150</v>
      </c>
      <c r="C1115" s="1">
        <v>-0.260191470384598</v>
      </c>
      <c r="D1115" s="1">
        <v>1.9236755371093801</v>
      </c>
      <c r="E1115" s="2">
        <v>46295.979699074072</v>
      </c>
      <c r="F1115" s="1">
        <v>2150</v>
      </c>
      <c r="G1115" s="1" t="s">
        <v>0</v>
      </c>
      <c r="H1115" s="1">
        <v>-400.00091552734398</v>
      </c>
    </row>
    <row r="1116" spans="1:8" ht="14.25" customHeight="1" x14ac:dyDescent="0.2">
      <c r="A1116" s="2">
        <v>46295.979733796295</v>
      </c>
      <c r="B1116" s="1">
        <v>2200</v>
      </c>
      <c r="C1116" s="1">
        <v>-0.21008950471878099</v>
      </c>
      <c r="D1116" s="1">
        <v>1.9342041015625</v>
      </c>
      <c r="E1116" s="2">
        <v>46295.979733796295</v>
      </c>
      <c r="F1116" s="1">
        <v>2200</v>
      </c>
      <c r="G1116" s="1" t="s">
        <v>0</v>
      </c>
      <c r="H1116" s="1">
        <v>-399.95529174804699</v>
      </c>
    </row>
    <row r="1117" spans="1:8" ht="14.25" customHeight="1" x14ac:dyDescent="0.2">
      <c r="A1117" s="2">
        <v>46295.979768518519</v>
      </c>
      <c r="B1117" s="1">
        <v>2250</v>
      </c>
      <c r="C1117" s="1">
        <v>-0.30230614542961098</v>
      </c>
      <c r="D1117" s="1">
        <v>1.9148254394531301</v>
      </c>
      <c r="E1117" s="2">
        <v>46295.979768518519</v>
      </c>
      <c r="F1117" s="1">
        <v>2250</v>
      </c>
      <c r="G1117" s="1" t="s">
        <v>0</v>
      </c>
      <c r="H1117" s="1">
        <v>-400.08972167968801</v>
      </c>
    </row>
    <row r="1118" spans="1:8" ht="14.25" customHeight="1" x14ac:dyDescent="0.2">
      <c r="A1118" s="2">
        <v>46295.979803240742</v>
      </c>
      <c r="B1118" s="1">
        <v>2300</v>
      </c>
      <c r="C1118" s="1">
        <v>-0.18322324752807601</v>
      </c>
      <c r="D1118" s="1">
        <v>1.9398498535156301</v>
      </c>
      <c r="E1118" s="2">
        <v>46295.979803240742</v>
      </c>
      <c r="F1118" s="1">
        <v>2300</v>
      </c>
      <c r="G1118" s="1" t="s">
        <v>0</v>
      </c>
      <c r="H1118" s="1">
        <v>-399.90859985351602</v>
      </c>
    </row>
    <row r="1119" spans="1:8" ht="14.25" customHeight="1" x14ac:dyDescent="0.2">
      <c r="A1119" s="2">
        <v>46295.979837962965</v>
      </c>
      <c r="B1119" s="1">
        <v>2350</v>
      </c>
      <c r="C1119" s="1">
        <v>-0.35095584392547602</v>
      </c>
      <c r="D1119" s="1">
        <v>1.90460205078125</v>
      </c>
      <c r="E1119" s="2">
        <v>46295.979837962965</v>
      </c>
      <c r="F1119" s="1">
        <v>2350</v>
      </c>
      <c r="G1119" s="1" t="s">
        <v>0</v>
      </c>
      <c r="H1119" s="1">
        <v>-399.92980957031301</v>
      </c>
    </row>
    <row r="1120" spans="1:8" ht="14.25" customHeight="1" x14ac:dyDescent="0.2">
      <c r="A1120" s="2">
        <v>46295.979872685188</v>
      </c>
      <c r="B1120" s="1">
        <v>2400</v>
      </c>
      <c r="C1120" s="1">
        <v>-0.27907046675682101</v>
      </c>
      <c r="D1120" s="1">
        <v>1.9197082519531301</v>
      </c>
      <c r="E1120" s="2">
        <v>46295.979872685188</v>
      </c>
      <c r="F1120" s="1">
        <v>2400</v>
      </c>
      <c r="G1120" s="1" t="s">
        <v>0</v>
      </c>
      <c r="H1120" s="1">
        <v>-399.92233276367199</v>
      </c>
    </row>
    <row r="1121" spans="1:8" ht="14.25" customHeight="1" x14ac:dyDescent="0.2">
      <c r="A1121" s="2">
        <v>46295.979907407411</v>
      </c>
      <c r="B1121" s="1">
        <v>2450</v>
      </c>
      <c r="C1121" s="1">
        <v>-0.35821700096130399</v>
      </c>
      <c r="D1121" s="1">
        <v>1.903076171875</v>
      </c>
      <c r="E1121" s="2">
        <v>46295.979907407411</v>
      </c>
      <c r="F1121" s="1">
        <v>2450</v>
      </c>
      <c r="G1121" s="1" t="s">
        <v>0</v>
      </c>
      <c r="H1121" s="1">
        <v>-400.08514404296898</v>
      </c>
    </row>
    <row r="1122" spans="1:8" ht="14.25" customHeight="1" x14ac:dyDescent="0.2">
      <c r="A1122" s="2">
        <v>46295.979942129627</v>
      </c>
      <c r="B1122" s="1">
        <v>2500</v>
      </c>
      <c r="C1122" s="1">
        <v>-0.28996217250824002</v>
      </c>
      <c r="D1122" s="1">
        <v>1.91741943359375</v>
      </c>
      <c r="E1122" s="2">
        <v>46295.979942129627</v>
      </c>
      <c r="F1122" s="1">
        <v>2500</v>
      </c>
      <c r="G1122" s="1" t="s">
        <v>0</v>
      </c>
      <c r="H1122" s="1">
        <v>-400.17501831054699</v>
      </c>
    </row>
    <row r="1123" spans="1:8" ht="14.25" customHeight="1" x14ac:dyDescent="0.2">
      <c r="A1123" s="1"/>
      <c r="B1123" s="1"/>
      <c r="C1123" s="1"/>
      <c r="D1123" s="1"/>
      <c r="E1123" s="1"/>
      <c r="F1123" s="1"/>
      <c r="G1123" s="1"/>
      <c r="H1123" s="1"/>
    </row>
    <row r="1124" spans="1:8" ht="14.25" customHeight="1" x14ac:dyDescent="0.2">
      <c r="A1124" s="2">
        <v>46295.981909722221</v>
      </c>
      <c r="B1124" s="1">
        <v>-1500</v>
      </c>
      <c r="C1124" s="1">
        <v>274.75375366210898</v>
      </c>
      <c r="D1124" s="1">
        <v>59.7158813476563</v>
      </c>
      <c r="E1124" s="2">
        <v>46295.981909722221</v>
      </c>
      <c r="F1124" s="1">
        <v>-1500</v>
      </c>
      <c r="G1124" s="1" t="s">
        <v>0</v>
      </c>
      <c r="H1124" s="1">
        <v>-398.48892211914102</v>
      </c>
    </row>
    <row r="1125" spans="1:8" ht="14.25" customHeight="1" x14ac:dyDescent="0.2">
      <c r="A1125" s="2">
        <v>46295.982187499998</v>
      </c>
      <c r="B1125" s="1">
        <v>-1450</v>
      </c>
      <c r="C1125" s="1">
        <v>288.52960205078102</v>
      </c>
      <c r="D1125" s="1">
        <v>62.6107788085938</v>
      </c>
      <c r="E1125" s="2">
        <v>46295.982187499998</v>
      </c>
      <c r="F1125" s="1">
        <v>-1450</v>
      </c>
      <c r="G1125" s="1" t="s">
        <v>0</v>
      </c>
      <c r="H1125" s="1">
        <v>-406.31790161132801</v>
      </c>
    </row>
    <row r="1126" spans="1:8" ht="14.25" customHeight="1" x14ac:dyDescent="0.2">
      <c r="A1126" s="2">
        <v>46295.982222222221</v>
      </c>
      <c r="B1126" s="1">
        <v>-1400</v>
      </c>
      <c r="C1126" s="1">
        <v>288.45046997070301</v>
      </c>
      <c r="D1126" s="1">
        <v>62.594146728515597</v>
      </c>
      <c r="E1126" s="2">
        <v>46295.982222222221</v>
      </c>
      <c r="F1126" s="1">
        <v>-1400</v>
      </c>
      <c r="G1126" s="1" t="s">
        <v>0</v>
      </c>
      <c r="H1126" s="1">
        <v>-399.89562988281301</v>
      </c>
    </row>
    <row r="1127" spans="1:8" ht="14.25" customHeight="1" x14ac:dyDescent="0.2">
      <c r="A1127" s="2">
        <v>46295.982256944444</v>
      </c>
      <c r="B1127" s="1">
        <v>-1350</v>
      </c>
      <c r="C1127" s="1">
        <v>288.43157958984398</v>
      </c>
      <c r="D1127" s="1">
        <v>62.590179443359403</v>
      </c>
      <c r="E1127" s="2">
        <v>46295.982256944444</v>
      </c>
      <c r="F1127" s="1">
        <v>-1350</v>
      </c>
      <c r="G1127" s="1" t="s">
        <v>0</v>
      </c>
      <c r="H1127" s="1">
        <v>-397.11349487304699</v>
      </c>
    </row>
    <row r="1128" spans="1:8" ht="14.25" customHeight="1" x14ac:dyDescent="0.2">
      <c r="A1128" s="2">
        <v>46295.982291666667</v>
      </c>
      <c r="B1128" s="1">
        <v>-1300</v>
      </c>
      <c r="C1128" s="1">
        <v>288.27111816406301</v>
      </c>
      <c r="D1128" s="1">
        <v>62.5564575195313</v>
      </c>
      <c r="E1128" s="2">
        <v>46295.982291666667</v>
      </c>
      <c r="F1128" s="1">
        <v>-1300</v>
      </c>
      <c r="G1128" s="1" t="s">
        <v>0</v>
      </c>
      <c r="H1128" s="1">
        <v>-399.92385864257801</v>
      </c>
    </row>
    <row r="1129" spans="1:8" ht="14.25" customHeight="1" x14ac:dyDescent="0.2">
      <c r="A1129" s="2">
        <v>46295.98232638889</v>
      </c>
      <c r="B1129" s="1">
        <v>-1250</v>
      </c>
      <c r="C1129" s="1">
        <v>288.48605346679699</v>
      </c>
      <c r="D1129" s="1">
        <v>62.6016235351563</v>
      </c>
      <c r="E1129" s="2">
        <v>46295.98232638889</v>
      </c>
      <c r="F1129" s="1">
        <v>-1250</v>
      </c>
      <c r="G1129" s="1" t="s">
        <v>0</v>
      </c>
      <c r="H1129" s="1">
        <v>-400.57708740234398</v>
      </c>
    </row>
    <row r="1130" spans="1:8" ht="14.25" customHeight="1" x14ac:dyDescent="0.2">
      <c r="A1130" s="2">
        <v>46295.982361111113</v>
      </c>
      <c r="B1130" s="1">
        <v>-1200</v>
      </c>
      <c r="C1130" s="1">
        <v>288.72637939453102</v>
      </c>
      <c r="D1130" s="1">
        <v>62.652130126953097</v>
      </c>
      <c r="E1130" s="2">
        <v>46295.982361111113</v>
      </c>
      <c r="F1130" s="1">
        <v>-1200</v>
      </c>
      <c r="G1130" s="1" t="s">
        <v>0</v>
      </c>
      <c r="H1130" s="1">
        <v>-400.11962890625</v>
      </c>
    </row>
    <row r="1131" spans="1:8" ht="14.25" customHeight="1" x14ac:dyDescent="0.2">
      <c r="A1131" s="2">
        <v>46295.982395833336</v>
      </c>
      <c r="B1131" s="1">
        <v>-1150</v>
      </c>
      <c r="C1131" s="1">
        <v>288.85635375976602</v>
      </c>
      <c r="D1131" s="1">
        <v>62.679443359375</v>
      </c>
      <c r="E1131" s="2">
        <v>46295.982395833336</v>
      </c>
      <c r="F1131" s="1">
        <v>-1150</v>
      </c>
      <c r="G1131" s="1" t="s">
        <v>0</v>
      </c>
      <c r="H1131" s="1">
        <v>-400.341796875</v>
      </c>
    </row>
    <row r="1132" spans="1:8" ht="14.25" customHeight="1" x14ac:dyDescent="0.2">
      <c r="A1132" s="2">
        <v>46295.982430555552</v>
      </c>
      <c r="B1132" s="1">
        <v>-1100</v>
      </c>
      <c r="C1132" s="1">
        <v>288.52090454101602</v>
      </c>
      <c r="D1132" s="1">
        <v>62.6089477539063</v>
      </c>
      <c r="E1132" s="2">
        <v>46295.982430555552</v>
      </c>
      <c r="F1132" s="1">
        <v>-1100</v>
      </c>
      <c r="G1132" s="1" t="s">
        <v>0</v>
      </c>
      <c r="H1132" s="1">
        <v>-400.29098510742199</v>
      </c>
    </row>
    <row r="1133" spans="1:8" ht="14.25" customHeight="1" x14ac:dyDescent="0.2">
      <c r="A1133" s="2">
        <v>46295.982465277775</v>
      </c>
      <c r="B1133" s="1">
        <v>-1050</v>
      </c>
      <c r="C1133" s="1">
        <v>288.72348022460898</v>
      </c>
      <c r="D1133" s="1">
        <v>62.651519775390597</v>
      </c>
      <c r="E1133" s="2">
        <v>46295.982465277775</v>
      </c>
      <c r="F1133" s="1">
        <v>-1050</v>
      </c>
      <c r="G1133" s="1" t="s">
        <v>0</v>
      </c>
      <c r="H1133" s="1">
        <v>-400.22491455078102</v>
      </c>
    </row>
    <row r="1134" spans="1:8" ht="14.25" customHeight="1" x14ac:dyDescent="0.2">
      <c r="A1134" s="2">
        <v>46295.982499999998</v>
      </c>
      <c r="B1134" s="1">
        <v>-1000</v>
      </c>
      <c r="C1134" s="1">
        <v>288.53033447265602</v>
      </c>
      <c r="D1134" s="1">
        <v>62.610931396484403</v>
      </c>
      <c r="E1134" s="2">
        <v>46295.982499999998</v>
      </c>
      <c r="F1134" s="1">
        <v>-1000</v>
      </c>
      <c r="G1134" s="1" t="s">
        <v>0</v>
      </c>
      <c r="H1134" s="1">
        <v>-400.72204589843801</v>
      </c>
    </row>
    <row r="1135" spans="1:8" ht="14.25" customHeight="1" x14ac:dyDescent="0.2">
      <c r="A1135" s="2">
        <v>46295.982534722221</v>
      </c>
      <c r="B1135" s="1">
        <v>-950</v>
      </c>
      <c r="C1135" s="1">
        <v>288.20504760742199</v>
      </c>
      <c r="D1135" s="1">
        <v>62.542572021484403</v>
      </c>
      <c r="E1135" s="2">
        <v>46295.982534722221</v>
      </c>
      <c r="F1135" s="1">
        <v>-950</v>
      </c>
      <c r="G1135" s="1" t="s">
        <v>0</v>
      </c>
      <c r="H1135" s="1">
        <v>-400.81954956054699</v>
      </c>
    </row>
    <row r="1136" spans="1:8" ht="14.25" customHeight="1" x14ac:dyDescent="0.2">
      <c r="A1136" s="2">
        <v>46295.982569444444</v>
      </c>
      <c r="B1136" s="1">
        <v>-900</v>
      </c>
      <c r="C1136" s="1">
        <v>288.34661865234398</v>
      </c>
      <c r="D1136" s="1">
        <v>62.5723266601563</v>
      </c>
      <c r="E1136" s="2">
        <v>46295.982569444444</v>
      </c>
      <c r="F1136" s="1">
        <v>-900</v>
      </c>
      <c r="G1136" s="1" t="s">
        <v>0</v>
      </c>
      <c r="H1136" s="1">
        <v>-401.03958129882801</v>
      </c>
    </row>
    <row r="1137" spans="1:8" ht="14.25" customHeight="1" x14ac:dyDescent="0.2">
      <c r="A1137" s="2">
        <v>46295.982604166667</v>
      </c>
      <c r="B1137" s="1">
        <v>-850</v>
      </c>
      <c r="C1137" s="1">
        <v>288.18252563476602</v>
      </c>
      <c r="D1137" s="1">
        <v>62.537841796875</v>
      </c>
      <c r="E1137" s="2">
        <v>46295.982604166667</v>
      </c>
      <c r="F1137" s="1">
        <v>-850</v>
      </c>
      <c r="G1137" s="1" t="s">
        <v>0</v>
      </c>
      <c r="H1137" s="1">
        <v>-400.75668334960898</v>
      </c>
    </row>
    <row r="1138" spans="1:8" ht="14.25" customHeight="1" x14ac:dyDescent="0.2">
      <c r="A1138" s="2">
        <v>46295.982638888891</v>
      </c>
      <c r="B1138" s="1">
        <v>-800</v>
      </c>
      <c r="C1138" s="1">
        <v>288.50128173828102</v>
      </c>
      <c r="D1138" s="1">
        <v>62.604827880859403</v>
      </c>
      <c r="E1138" s="2">
        <v>46295.982638888891</v>
      </c>
      <c r="F1138" s="1">
        <v>-800</v>
      </c>
      <c r="G1138" s="1" t="s">
        <v>0</v>
      </c>
      <c r="H1138" s="1">
        <v>-400.74264526367199</v>
      </c>
    </row>
    <row r="1139" spans="1:8" ht="14.25" customHeight="1" x14ac:dyDescent="0.2">
      <c r="A1139" s="2">
        <v>46295.982685185183</v>
      </c>
      <c r="B1139" s="1">
        <v>-750</v>
      </c>
      <c r="C1139" s="1">
        <v>288.40399169921898</v>
      </c>
      <c r="D1139" s="1">
        <v>62.584381103515597</v>
      </c>
      <c r="E1139" s="2">
        <v>46295.982685185183</v>
      </c>
      <c r="F1139" s="1">
        <v>-750</v>
      </c>
      <c r="G1139" s="1" t="s">
        <v>0</v>
      </c>
      <c r="H1139" s="1">
        <v>-400.76187133789102</v>
      </c>
    </row>
    <row r="1140" spans="1:8" ht="14.25" customHeight="1" x14ac:dyDescent="0.2">
      <c r="A1140" s="2">
        <v>46295.982719907406</v>
      </c>
      <c r="B1140" s="1">
        <v>-700</v>
      </c>
      <c r="C1140" s="1">
        <v>287.83834838867199</v>
      </c>
      <c r="D1140" s="1">
        <v>62.4655151367188</v>
      </c>
      <c r="E1140" s="2">
        <v>46295.982719907406</v>
      </c>
      <c r="F1140" s="1">
        <v>-700</v>
      </c>
      <c r="G1140" s="1" t="s">
        <v>0</v>
      </c>
      <c r="H1140" s="1">
        <v>-400.81344604492199</v>
      </c>
    </row>
    <row r="1141" spans="1:8" ht="14.25" customHeight="1" x14ac:dyDescent="0.2">
      <c r="A1141" s="2">
        <v>46295.982754629629</v>
      </c>
      <c r="B1141" s="1">
        <v>-650</v>
      </c>
      <c r="C1141" s="1">
        <v>288.38583374023398</v>
      </c>
      <c r="D1141" s="1">
        <v>62.58056640625</v>
      </c>
      <c r="E1141" s="2">
        <v>46295.982754629629</v>
      </c>
      <c r="F1141" s="1">
        <v>-650</v>
      </c>
      <c r="G1141" s="1" t="s">
        <v>0</v>
      </c>
      <c r="H1141" s="1">
        <v>-400.98876953125</v>
      </c>
    </row>
    <row r="1142" spans="1:8" ht="14.25" customHeight="1" x14ac:dyDescent="0.2">
      <c r="A1142" s="2">
        <v>46295.982789351852</v>
      </c>
      <c r="B1142" s="1">
        <v>-600</v>
      </c>
      <c r="C1142" s="1">
        <v>288.49548339843801</v>
      </c>
      <c r="D1142" s="1">
        <v>62.603607177734403</v>
      </c>
      <c r="E1142" s="2">
        <v>46295.982789351852</v>
      </c>
      <c r="F1142" s="1">
        <v>-600</v>
      </c>
      <c r="G1142" s="1" t="s">
        <v>0</v>
      </c>
      <c r="H1142" s="1">
        <v>-401.13967895507801</v>
      </c>
    </row>
    <row r="1143" spans="1:8" ht="14.25" customHeight="1" x14ac:dyDescent="0.2">
      <c r="A1143" s="2">
        <v>46295.982824074075</v>
      </c>
      <c r="B1143" s="1">
        <v>-550</v>
      </c>
      <c r="C1143" s="1">
        <v>288.30740356445301</v>
      </c>
      <c r="D1143" s="1">
        <v>62.5640869140625</v>
      </c>
      <c r="E1143" s="2">
        <v>46295.982824074075</v>
      </c>
      <c r="F1143" s="1">
        <v>-550</v>
      </c>
      <c r="G1143" s="1" t="s">
        <v>0</v>
      </c>
      <c r="H1143" s="1">
        <v>-401.01806640625</v>
      </c>
    </row>
    <row r="1144" spans="1:8" ht="14.25" customHeight="1" x14ac:dyDescent="0.2">
      <c r="A1144" s="2">
        <v>46295.982858796298</v>
      </c>
      <c r="B1144" s="1">
        <v>-500</v>
      </c>
      <c r="C1144" s="1">
        <v>287.91094970703102</v>
      </c>
      <c r="D1144" s="1">
        <v>62.4807739257813</v>
      </c>
      <c r="E1144" s="2">
        <v>46295.982858796298</v>
      </c>
      <c r="F1144" s="1">
        <v>-500</v>
      </c>
      <c r="G1144" s="1" t="s">
        <v>0</v>
      </c>
      <c r="H1144" s="1">
        <v>-400.67581176757801</v>
      </c>
    </row>
    <row r="1145" spans="1:8" ht="14.25" customHeight="1" x14ac:dyDescent="0.2">
      <c r="A1145" s="2">
        <v>46295.982893518521</v>
      </c>
      <c r="B1145" s="1">
        <v>-450</v>
      </c>
      <c r="C1145" s="1">
        <v>288.16583251953102</v>
      </c>
      <c r="D1145" s="1">
        <v>62.534332275390597</v>
      </c>
      <c r="E1145" s="2">
        <v>46295.982893518521</v>
      </c>
      <c r="F1145" s="1">
        <v>-450</v>
      </c>
      <c r="G1145" s="1" t="s">
        <v>0</v>
      </c>
      <c r="H1145" s="1">
        <v>-400.96603393554699</v>
      </c>
    </row>
    <row r="1146" spans="1:8" ht="14.25" customHeight="1" x14ac:dyDescent="0.2">
      <c r="A1146" s="2">
        <v>46295.982928240737</v>
      </c>
      <c r="B1146" s="1">
        <v>-400</v>
      </c>
      <c r="C1146" s="1">
        <v>287.81439208984398</v>
      </c>
      <c r="D1146" s="1">
        <v>62.460479736328097</v>
      </c>
      <c r="E1146" s="2">
        <v>46295.982928240737</v>
      </c>
      <c r="F1146" s="1">
        <v>-400</v>
      </c>
      <c r="G1146" s="1" t="s">
        <v>0</v>
      </c>
      <c r="H1146" s="1">
        <v>-401.18682861328102</v>
      </c>
    </row>
    <row r="1147" spans="1:8" ht="14.25" customHeight="1" x14ac:dyDescent="0.2">
      <c r="A1147" s="2">
        <v>46295.98296296296</v>
      </c>
      <c r="B1147" s="1">
        <v>-350</v>
      </c>
      <c r="C1147" s="1">
        <v>287.70184326171898</v>
      </c>
      <c r="D1147" s="1">
        <v>62.4368286132813</v>
      </c>
      <c r="E1147" s="2">
        <v>46295.98296296296</v>
      </c>
      <c r="F1147" s="1">
        <v>-350</v>
      </c>
      <c r="G1147" s="1" t="s">
        <v>0</v>
      </c>
      <c r="H1147" s="1">
        <v>-401.11267089843801</v>
      </c>
    </row>
    <row r="1148" spans="1:8" ht="14.25" customHeight="1" x14ac:dyDescent="0.2">
      <c r="A1148" s="2">
        <v>46295.982997685183</v>
      </c>
      <c r="B1148" s="1">
        <v>-300</v>
      </c>
      <c r="C1148" s="1">
        <v>287.40414428710898</v>
      </c>
      <c r="D1148" s="1">
        <v>62.374267578125</v>
      </c>
      <c r="E1148" s="2">
        <v>46295.982997685183</v>
      </c>
      <c r="F1148" s="1">
        <v>-300</v>
      </c>
      <c r="G1148" s="1" t="s">
        <v>0</v>
      </c>
      <c r="H1148" s="1">
        <v>-400.86135864257801</v>
      </c>
    </row>
    <row r="1149" spans="1:8" ht="14.25" customHeight="1" x14ac:dyDescent="0.2">
      <c r="A1149" s="2">
        <v>46295.983032407406</v>
      </c>
      <c r="B1149" s="1">
        <v>-250</v>
      </c>
      <c r="C1149" s="1">
        <v>286.73974609375</v>
      </c>
      <c r="D1149" s="1">
        <v>62.234649658203097</v>
      </c>
      <c r="E1149" s="2">
        <v>46295.983032407406</v>
      </c>
      <c r="F1149" s="1">
        <v>-250</v>
      </c>
      <c r="G1149" s="1" t="s">
        <v>0</v>
      </c>
      <c r="H1149" s="1">
        <v>-400.86288452148398</v>
      </c>
    </row>
    <row r="1150" spans="1:8" ht="14.25" customHeight="1" x14ac:dyDescent="0.2">
      <c r="A1150" s="2">
        <v>46295.983067129629</v>
      </c>
      <c r="B1150" s="1">
        <v>-200</v>
      </c>
      <c r="C1150" s="1">
        <v>285.56124877929699</v>
      </c>
      <c r="D1150" s="1">
        <v>61.9869995117188</v>
      </c>
      <c r="E1150" s="2">
        <v>46295.983067129629</v>
      </c>
      <c r="F1150" s="1">
        <v>-200</v>
      </c>
      <c r="G1150" s="1" t="s">
        <v>0</v>
      </c>
      <c r="H1150" s="1">
        <v>-400.880126953125</v>
      </c>
    </row>
    <row r="1151" spans="1:8" ht="14.25" customHeight="1" x14ac:dyDescent="0.2">
      <c r="A1151" s="2">
        <v>46295.983101851853</v>
      </c>
      <c r="B1151" s="1">
        <v>-150</v>
      </c>
      <c r="C1151" s="1">
        <v>284.56356811523398</v>
      </c>
      <c r="D1151" s="1">
        <v>61.77734375</v>
      </c>
      <c r="E1151" s="2">
        <v>46295.983101851853</v>
      </c>
      <c r="F1151" s="1">
        <v>-150</v>
      </c>
      <c r="G1151" s="1" t="s">
        <v>0</v>
      </c>
      <c r="H1151" s="1">
        <v>-400.78887939453102</v>
      </c>
    </row>
    <row r="1152" spans="1:8" ht="14.25" customHeight="1" x14ac:dyDescent="0.2">
      <c r="A1152" s="2">
        <v>46295.983136574076</v>
      </c>
      <c r="B1152" s="1">
        <v>-100</v>
      </c>
      <c r="C1152" s="1">
        <v>277.25231933593801</v>
      </c>
      <c r="D1152" s="1">
        <v>60.240936279296903</v>
      </c>
      <c r="E1152" s="2">
        <v>46295.983136574076</v>
      </c>
      <c r="F1152" s="1">
        <v>-100</v>
      </c>
      <c r="G1152" s="1" t="s">
        <v>0</v>
      </c>
      <c r="H1152" s="1">
        <v>-400.7421875</v>
      </c>
    </row>
    <row r="1153" spans="1:8" ht="14.25" customHeight="1" x14ac:dyDescent="0.2">
      <c r="A1153" s="2">
        <v>46295.983171296299</v>
      </c>
      <c r="B1153" s="1">
        <v>-50</v>
      </c>
      <c r="C1153" s="1">
        <v>268.78726196289102</v>
      </c>
      <c r="D1153" s="1">
        <v>58.462066650390597</v>
      </c>
      <c r="E1153" s="2">
        <v>46295.983171296299</v>
      </c>
      <c r="F1153" s="1">
        <v>-50</v>
      </c>
      <c r="G1153" s="1" t="s">
        <v>0</v>
      </c>
      <c r="H1153" s="1">
        <v>-401.00631713867199</v>
      </c>
    </row>
    <row r="1154" spans="1:8" ht="14.25" customHeight="1" x14ac:dyDescent="0.2">
      <c r="A1154" s="2">
        <v>46295.983206018522</v>
      </c>
      <c r="B1154" s="1">
        <v>0</v>
      </c>
      <c r="C1154" s="1">
        <v>249.13641357421901</v>
      </c>
      <c r="D1154" s="1">
        <v>54.3325805664063</v>
      </c>
      <c r="E1154" s="2">
        <v>46295.983206018522</v>
      </c>
      <c r="F1154" s="1">
        <v>0</v>
      </c>
      <c r="G1154" s="1" t="s">
        <v>0</v>
      </c>
      <c r="H1154" s="1">
        <v>-400.88455200195301</v>
      </c>
    </row>
    <row r="1155" spans="1:8" ht="14.25" customHeight="1" x14ac:dyDescent="0.2">
      <c r="A1155" s="2">
        <v>46295.983240740738</v>
      </c>
      <c r="B1155" s="1">
        <v>50</v>
      </c>
      <c r="C1155" s="1">
        <v>225.71337890625</v>
      </c>
      <c r="D1155" s="1">
        <v>49.410400390625</v>
      </c>
      <c r="E1155" s="2">
        <v>46295.983240740738</v>
      </c>
      <c r="F1155" s="1">
        <v>50</v>
      </c>
      <c r="G1155" s="1" t="s">
        <v>0</v>
      </c>
      <c r="H1155" s="1">
        <v>-400.89416503906301</v>
      </c>
    </row>
    <row r="1156" spans="1:8" ht="14.25" customHeight="1" x14ac:dyDescent="0.2">
      <c r="A1156" s="2">
        <v>46295.983275462961</v>
      </c>
      <c r="B1156" s="1">
        <v>100</v>
      </c>
      <c r="C1156" s="1">
        <v>204.696701049805</v>
      </c>
      <c r="D1156" s="1">
        <v>44.993896484375</v>
      </c>
      <c r="E1156" s="2">
        <v>46295.983275462961</v>
      </c>
      <c r="F1156" s="1">
        <v>100</v>
      </c>
      <c r="G1156" s="1" t="s">
        <v>0</v>
      </c>
      <c r="H1156" s="1">
        <v>-400.88577270507801</v>
      </c>
    </row>
    <row r="1157" spans="1:8" ht="14.25" customHeight="1" x14ac:dyDescent="0.2">
      <c r="A1157" s="2">
        <v>46295.983310185184</v>
      </c>
      <c r="B1157" s="1">
        <v>150</v>
      </c>
      <c r="C1157" s="1">
        <v>185.26441955566401</v>
      </c>
      <c r="D1157" s="1">
        <v>40.9103393554688</v>
      </c>
      <c r="E1157" s="2">
        <v>46295.983310185184</v>
      </c>
      <c r="F1157" s="1">
        <v>150</v>
      </c>
      <c r="G1157" s="1" t="s">
        <v>0</v>
      </c>
      <c r="H1157" s="1">
        <v>-400.87783813476602</v>
      </c>
    </row>
    <row r="1158" spans="1:8" ht="14.25" customHeight="1" x14ac:dyDescent="0.2">
      <c r="A1158" s="2">
        <v>46295.983344907407</v>
      </c>
      <c r="B1158" s="1">
        <v>200</v>
      </c>
      <c r="C1158" s="1">
        <v>168.83677673339801</v>
      </c>
      <c r="D1158" s="1">
        <v>37.4581909179688</v>
      </c>
      <c r="E1158" s="2">
        <v>46295.983344907407</v>
      </c>
      <c r="F1158" s="1">
        <v>200</v>
      </c>
      <c r="G1158" s="1" t="s">
        <v>0</v>
      </c>
      <c r="H1158" s="1">
        <v>-400.74981689453102</v>
      </c>
    </row>
    <row r="1159" spans="1:8" ht="14.25" customHeight="1" x14ac:dyDescent="0.2">
      <c r="A1159" s="2">
        <v>46295.98337962963</v>
      </c>
      <c r="B1159" s="1">
        <v>250</v>
      </c>
      <c r="C1159" s="1">
        <v>150.79936218261699</v>
      </c>
      <c r="D1159" s="1">
        <v>33.667755126953097</v>
      </c>
      <c r="E1159" s="2">
        <v>46295.98337962963</v>
      </c>
      <c r="F1159" s="1">
        <v>250</v>
      </c>
      <c r="G1159" s="1" t="s">
        <v>0</v>
      </c>
      <c r="H1159" s="1">
        <v>-401.04400634765602</v>
      </c>
    </row>
    <row r="1160" spans="1:8" ht="14.25" customHeight="1" x14ac:dyDescent="0.2">
      <c r="A1160" s="2">
        <v>46295.983414351853</v>
      </c>
      <c r="B1160" s="1">
        <v>300</v>
      </c>
      <c r="C1160" s="1">
        <v>135.87478637695301</v>
      </c>
      <c r="D1160" s="1">
        <v>30.5314636230469</v>
      </c>
      <c r="E1160" s="2">
        <v>46295.983414351853</v>
      </c>
      <c r="F1160" s="1">
        <v>300</v>
      </c>
      <c r="G1160" s="1" t="s">
        <v>0</v>
      </c>
      <c r="H1160" s="1">
        <v>-400.95275878906301</v>
      </c>
    </row>
    <row r="1161" spans="1:8" ht="14.25" customHeight="1" x14ac:dyDescent="0.2">
      <c r="A1161" s="2">
        <v>46295.983449074076</v>
      </c>
      <c r="B1161" s="1">
        <v>350</v>
      </c>
      <c r="C1161" s="1">
        <v>121.10414886474599</v>
      </c>
      <c r="D1161" s="1">
        <v>27.4275207519531</v>
      </c>
      <c r="E1161" s="2">
        <v>46295.983449074076</v>
      </c>
      <c r="F1161" s="1">
        <v>350</v>
      </c>
      <c r="G1161" s="1" t="s">
        <v>0</v>
      </c>
      <c r="H1161" s="1">
        <v>-401.06628417968801</v>
      </c>
    </row>
    <row r="1162" spans="1:8" ht="14.25" customHeight="1" x14ac:dyDescent="0.2">
      <c r="A1162" s="2">
        <v>46295.983483796299</v>
      </c>
      <c r="B1162" s="1">
        <v>400</v>
      </c>
      <c r="C1162" s="1">
        <v>106.856315612793</v>
      </c>
      <c r="D1162" s="1">
        <v>24.4334411621094</v>
      </c>
      <c r="E1162" s="2">
        <v>46295.983483796299</v>
      </c>
      <c r="F1162" s="1">
        <v>400</v>
      </c>
      <c r="G1162" s="1" t="s">
        <v>0</v>
      </c>
      <c r="H1162" s="1">
        <v>-401.2060546875</v>
      </c>
    </row>
    <row r="1163" spans="1:8" ht="14.25" customHeight="1" x14ac:dyDescent="0.2">
      <c r="A1163" s="2">
        <v>46295.983518518522</v>
      </c>
      <c r="B1163" s="1">
        <v>450</v>
      </c>
      <c r="C1163" s="1">
        <v>78.611892700195298</v>
      </c>
      <c r="D1163" s="1">
        <v>18.4980773925781</v>
      </c>
      <c r="E1163" s="2">
        <v>46295.983518518522</v>
      </c>
      <c r="F1163" s="1">
        <v>450</v>
      </c>
      <c r="G1163" s="1" t="s">
        <v>0</v>
      </c>
      <c r="H1163" s="1">
        <v>-400.99426269531301</v>
      </c>
    </row>
    <row r="1164" spans="1:8" ht="14.25" customHeight="1" x14ac:dyDescent="0.2">
      <c r="A1164" s="2">
        <v>46295.983553240738</v>
      </c>
      <c r="B1164" s="1">
        <v>500</v>
      </c>
      <c r="C1164" s="1">
        <v>72.719467163085895</v>
      </c>
      <c r="D1164" s="1">
        <v>17.2598266601563</v>
      </c>
      <c r="E1164" s="2">
        <v>46295.983553240738</v>
      </c>
      <c r="F1164" s="1">
        <v>500</v>
      </c>
      <c r="G1164" s="1" t="s">
        <v>0</v>
      </c>
      <c r="H1164" s="1">
        <v>-400.89752197265602</v>
      </c>
    </row>
    <row r="1165" spans="1:8" ht="14.25" customHeight="1" x14ac:dyDescent="0.2">
      <c r="A1165" s="2">
        <v>46295.983587962961</v>
      </c>
      <c r="B1165" s="1">
        <v>550</v>
      </c>
      <c r="C1165" s="1">
        <v>66.030494689941406</v>
      </c>
      <c r="D1165" s="1">
        <v>15.8541870117188</v>
      </c>
      <c r="E1165" s="2">
        <v>46295.983587962961</v>
      </c>
      <c r="F1165" s="1">
        <v>550</v>
      </c>
      <c r="G1165" s="1" t="s">
        <v>0</v>
      </c>
      <c r="H1165" s="1">
        <v>-401.11267089843801</v>
      </c>
    </row>
    <row r="1166" spans="1:8" ht="14.25" customHeight="1" x14ac:dyDescent="0.2">
      <c r="A1166" s="2">
        <v>46295.983622685184</v>
      </c>
      <c r="B1166" s="1">
        <v>600</v>
      </c>
      <c r="C1166" s="1">
        <v>56.905403137207003</v>
      </c>
      <c r="D1166" s="1">
        <v>13.9366149902344</v>
      </c>
      <c r="E1166" s="2">
        <v>46295.983622685184</v>
      </c>
      <c r="F1166" s="1">
        <v>600</v>
      </c>
      <c r="G1166" s="1" t="s">
        <v>0</v>
      </c>
      <c r="H1166" s="1">
        <v>-401.21658325195301</v>
      </c>
    </row>
    <row r="1167" spans="1:8" ht="14.25" customHeight="1" x14ac:dyDescent="0.2">
      <c r="A1167" s="2">
        <v>46295.983657407407</v>
      </c>
      <c r="B1167" s="1">
        <v>650</v>
      </c>
      <c r="C1167" s="1">
        <v>50.299934387207003</v>
      </c>
      <c r="D1167" s="1">
        <v>12.5485229492188</v>
      </c>
      <c r="E1167" s="2">
        <v>46295.983657407407</v>
      </c>
      <c r="F1167" s="1">
        <v>650</v>
      </c>
      <c r="G1167" s="1" t="s">
        <v>0</v>
      </c>
      <c r="H1167" s="1">
        <v>-401.15707397460898</v>
      </c>
    </row>
    <row r="1168" spans="1:8" ht="14.25" customHeight="1" x14ac:dyDescent="0.2">
      <c r="A1168" s="2">
        <v>46295.98369212963</v>
      </c>
      <c r="B1168" s="1">
        <v>700</v>
      </c>
      <c r="C1168" s="1">
        <v>45.073356628417997</v>
      </c>
      <c r="D1168" s="1">
        <v>11.4501953125</v>
      </c>
      <c r="E1168" s="2">
        <v>46295.98369212963</v>
      </c>
      <c r="F1168" s="1">
        <v>700</v>
      </c>
      <c r="G1168" s="1" t="s">
        <v>0</v>
      </c>
      <c r="H1168" s="1">
        <v>-401.38595581054699</v>
      </c>
    </row>
    <row r="1169" spans="1:8" ht="14.25" customHeight="1" x14ac:dyDescent="0.2">
      <c r="A1169" s="2">
        <v>46295.983726851853</v>
      </c>
      <c r="B1169" s="1">
        <v>750</v>
      </c>
      <c r="C1169" s="1">
        <v>42.115890502929702</v>
      </c>
      <c r="D1169" s="1">
        <v>10.8287048339844</v>
      </c>
      <c r="E1169" s="2">
        <v>46295.983726851853</v>
      </c>
      <c r="F1169" s="1">
        <v>750</v>
      </c>
      <c r="G1169" s="1" t="s">
        <v>0</v>
      </c>
      <c r="H1169" s="1">
        <v>-401.22238159179699</v>
      </c>
    </row>
    <row r="1170" spans="1:8" ht="14.25" customHeight="1" x14ac:dyDescent="0.2">
      <c r="A1170" s="2">
        <v>46295.983761574076</v>
      </c>
      <c r="B1170" s="1">
        <v>800</v>
      </c>
      <c r="C1170" s="1">
        <v>37.758472442627003</v>
      </c>
      <c r="D1170" s="1">
        <v>9.91302490234375</v>
      </c>
      <c r="E1170" s="2">
        <v>46295.983761574076</v>
      </c>
      <c r="F1170" s="1">
        <v>800</v>
      </c>
      <c r="G1170" s="1" t="s">
        <v>0</v>
      </c>
      <c r="H1170" s="1">
        <v>-401.16607666015602</v>
      </c>
    </row>
    <row r="1171" spans="1:8" ht="14.25" customHeight="1" x14ac:dyDescent="0.2">
      <c r="A1171" s="2">
        <v>46295.983796296299</v>
      </c>
      <c r="B1171" s="1">
        <v>850</v>
      </c>
      <c r="C1171" s="1">
        <v>32.163028717041001</v>
      </c>
      <c r="D1171" s="1">
        <v>8.7371826171875</v>
      </c>
      <c r="E1171" s="2">
        <v>46295.983796296299</v>
      </c>
      <c r="F1171" s="1">
        <v>850</v>
      </c>
      <c r="G1171" s="1" t="s">
        <v>0</v>
      </c>
      <c r="H1171" s="1">
        <v>-401.06216430664102</v>
      </c>
    </row>
    <row r="1172" spans="1:8" ht="14.25" customHeight="1" x14ac:dyDescent="0.2">
      <c r="A1172" s="2">
        <v>46295.983831018515</v>
      </c>
      <c r="B1172" s="1">
        <v>900</v>
      </c>
      <c r="C1172" s="1">
        <v>27.552198410034201</v>
      </c>
      <c r="D1172" s="1">
        <v>7.76824951171875</v>
      </c>
      <c r="E1172" s="2">
        <v>46295.983831018515</v>
      </c>
      <c r="F1172" s="1">
        <v>900</v>
      </c>
      <c r="G1172" s="1" t="s">
        <v>0</v>
      </c>
      <c r="H1172" s="1">
        <v>-400.93826293945301</v>
      </c>
    </row>
    <row r="1173" spans="1:8" ht="14.25" customHeight="1" x14ac:dyDescent="0.2">
      <c r="A1173" s="2">
        <v>46295.983865740738</v>
      </c>
      <c r="B1173" s="1">
        <v>950</v>
      </c>
      <c r="C1173" s="1">
        <v>21.675022125244102</v>
      </c>
      <c r="D1173" s="1">
        <v>6.533203125</v>
      </c>
      <c r="E1173" s="2">
        <v>46295.983865740738</v>
      </c>
      <c r="F1173" s="1">
        <v>950</v>
      </c>
      <c r="G1173" s="1" t="s">
        <v>0</v>
      </c>
      <c r="H1173" s="1">
        <v>-401.10916137695301</v>
      </c>
    </row>
    <row r="1174" spans="1:8" ht="14.25" customHeight="1" x14ac:dyDescent="0.2">
      <c r="A1174" s="2">
        <v>46295.983900462961</v>
      </c>
      <c r="B1174" s="1">
        <v>1000</v>
      </c>
      <c r="C1174" s="1">
        <v>17.459922790527301</v>
      </c>
      <c r="D1174" s="1">
        <v>5.6474304199218803</v>
      </c>
      <c r="E1174" s="2">
        <v>46295.983900462961</v>
      </c>
      <c r="F1174" s="1">
        <v>1000</v>
      </c>
      <c r="G1174" s="1" t="s">
        <v>0</v>
      </c>
      <c r="H1174" s="1">
        <v>-401.88140869140602</v>
      </c>
    </row>
    <row r="1175" spans="1:8" ht="14.25" customHeight="1" x14ac:dyDescent="0.2">
      <c r="A1175" s="2">
        <v>46295.983935185184</v>
      </c>
      <c r="B1175" s="1">
        <v>1050</v>
      </c>
      <c r="C1175" s="1">
        <v>13.0807228088379</v>
      </c>
      <c r="D1175" s="1">
        <v>4.7271728515625</v>
      </c>
      <c r="E1175" s="2">
        <v>46295.983935185184</v>
      </c>
      <c r="F1175" s="1">
        <v>1050</v>
      </c>
      <c r="G1175" s="1" t="s">
        <v>0</v>
      </c>
      <c r="H1175" s="1">
        <v>-400.88348388671898</v>
      </c>
    </row>
    <row r="1176" spans="1:8" ht="14.25" customHeight="1" x14ac:dyDescent="0.2">
      <c r="A1176" s="2">
        <v>46295.983969907407</v>
      </c>
      <c r="B1176" s="1">
        <v>1100</v>
      </c>
      <c r="C1176" s="1">
        <v>8.9680061340331996</v>
      </c>
      <c r="D1176" s="1">
        <v>3.8629150390625</v>
      </c>
      <c r="E1176" s="2">
        <v>46295.983969907407</v>
      </c>
      <c r="F1176" s="1">
        <v>1100</v>
      </c>
      <c r="G1176" s="1" t="s">
        <v>0</v>
      </c>
      <c r="H1176" s="1">
        <v>-401.146240234375</v>
      </c>
    </row>
    <row r="1177" spans="1:8" ht="14.25" customHeight="1" x14ac:dyDescent="0.2">
      <c r="A1177" s="2">
        <v>46295.98400462963</v>
      </c>
      <c r="B1177" s="1">
        <v>1150</v>
      </c>
      <c r="C1177" s="1">
        <v>5.9814944267272896</v>
      </c>
      <c r="D1177" s="1">
        <v>3.2353210449218799</v>
      </c>
      <c r="E1177" s="2">
        <v>46295.98400462963</v>
      </c>
      <c r="F1177" s="1">
        <v>1150</v>
      </c>
      <c r="G1177" s="1" t="s">
        <v>0</v>
      </c>
      <c r="H1177" s="1">
        <v>-401.00326538085898</v>
      </c>
    </row>
    <row r="1178" spans="1:8" ht="14.25" customHeight="1" x14ac:dyDescent="0.2">
      <c r="A1178" s="2">
        <v>46295.984039351853</v>
      </c>
      <c r="B1178" s="1">
        <v>1200</v>
      </c>
      <c r="C1178" s="1">
        <v>3.9149708747863801</v>
      </c>
      <c r="D1178" s="1">
        <v>2.8010559082031299</v>
      </c>
      <c r="E1178" s="2">
        <v>46295.984039351853</v>
      </c>
      <c r="F1178" s="1">
        <v>1200</v>
      </c>
      <c r="G1178" s="1" t="s">
        <v>0</v>
      </c>
      <c r="H1178" s="1">
        <v>-401.00006103515602</v>
      </c>
    </row>
    <row r="1179" spans="1:8" ht="14.25" customHeight="1" x14ac:dyDescent="0.2">
      <c r="A1179" s="2">
        <v>46295.984074074076</v>
      </c>
      <c r="B1179" s="1">
        <v>1250</v>
      </c>
      <c r="C1179" s="1">
        <v>2.4431352615356401</v>
      </c>
      <c r="D1179" s="1">
        <v>2.49176025390625</v>
      </c>
      <c r="E1179" s="2">
        <v>46295.984074074076</v>
      </c>
      <c r="F1179" s="1">
        <v>1250</v>
      </c>
      <c r="G1179" s="1" t="s">
        <v>0</v>
      </c>
      <c r="H1179" s="1">
        <v>-402.21435546875</v>
      </c>
    </row>
    <row r="1180" spans="1:8" ht="14.25" customHeight="1" x14ac:dyDescent="0.2">
      <c r="A1180" s="2">
        <v>46295.9841087963</v>
      </c>
      <c r="B1180" s="1">
        <v>1300</v>
      </c>
      <c r="C1180" s="1">
        <v>1.31402623653412</v>
      </c>
      <c r="D1180" s="1">
        <v>2.2544860839843799</v>
      </c>
      <c r="E1180" s="2">
        <v>46295.9841087963</v>
      </c>
      <c r="F1180" s="1">
        <v>1300</v>
      </c>
      <c r="G1180" s="1" t="s">
        <v>0</v>
      </c>
      <c r="H1180" s="1">
        <v>-401.57394409179699</v>
      </c>
    </row>
    <row r="1181" spans="1:8" ht="14.25" customHeight="1" x14ac:dyDescent="0.2">
      <c r="A1181" s="2">
        <v>46295.984143518515</v>
      </c>
      <c r="B1181" s="1">
        <v>1350</v>
      </c>
      <c r="C1181" s="1">
        <v>0.74184745550155595</v>
      </c>
      <c r="D1181" s="1">
        <v>2.1342468261718799</v>
      </c>
      <c r="E1181" s="2">
        <v>46295.984143518515</v>
      </c>
      <c r="F1181" s="1">
        <v>1350</v>
      </c>
      <c r="G1181" s="1" t="s">
        <v>0</v>
      </c>
      <c r="H1181" s="1">
        <v>-400.81436157226602</v>
      </c>
    </row>
    <row r="1182" spans="1:8" ht="14.25" customHeight="1" x14ac:dyDescent="0.2">
      <c r="A1182" s="2">
        <v>46295.984178240738</v>
      </c>
      <c r="B1182" s="1">
        <v>1400</v>
      </c>
      <c r="C1182" s="1">
        <v>0.38677716255187999</v>
      </c>
      <c r="D1182" s="1">
        <v>2.05963134765625</v>
      </c>
      <c r="E1182" s="2">
        <v>46295.984178240738</v>
      </c>
      <c r="F1182" s="1">
        <v>1400</v>
      </c>
      <c r="G1182" s="1" t="s">
        <v>0</v>
      </c>
      <c r="H1182" s="1">
        <v>-401.49734497070301</v>
      </c>
    </row>
    <row r="1183" spans="1:8" ht="14.25" customHeight="1" x14ac:dyDescent="0.2">
      <c r="A1183" s="2">
        <v>46295.984212962961</v>
      </c>
      <c r="B1183" s="1">
        <v>1450</v>
      </c>
      <c r="C1183" s="1">
        <v>0.13554130494594599</v>
      </c>
      <c r="D1183" s="1">
        <v>2.0068359375</v>
      </c>
      <c r="E1183" s="2">
        <v>46295.984212962961</v>
      </c>
      <c r="F1183" s="1">
        <v>1450</v>
      </c>
      <c r="G1183" s="1" t="s">
        <v>0</v>
      </c>
      <c r="H1183" s="1">
        <v>-401.34552001953102</v>
      </c>
    </row>
    <row r="1184" spans="1:8" ht="14.25" customHeight="1" x14ac:dyDescent="0.2">
      <c r="A1184" s="2">
        <v>46295.984247685185</v>
      </c>
      <c r="B1184" s="1">
        <v>1500</v>
      </c>
      <c r="C1184" s="1">
        <v>4.9133602529764203E-2</v>
      </c>
      <c r="D1184" s="1">
        <v>1.9886779785156301</v>
      </c>
      <c r="E1184" s="2">
        <v>46295.984247685185</v>
      </c>
      <c r="F1184" s="1">
        <v>1500</v>
      </c>
      <c r="G1184" s="1" t="s">
        <v>0</v>
      </c>
      <c r="H1184" s="1">
        <v>-401.18728637695301</v>
      </c>
    </row>
    <row r="1185" spans="1:8" ht="14.25" customHeight="1" x14ac:dyDescent="0.2">
      <c r="A1185" s="2">
        <v>46295.984282407408</v>
      </c>
      <c r="B1185" s="1">
        <v>1550</v>
      </c>
      <c r="C1185" s="1">
        <v>-8.2293242216110202E-2</v>
      </c>
      <c r="D1185" s="1">
        <v>1.9610595703125</v>
      </c>
      <c r="E1185" s="2">
        <v>46295.984282407408</v>
      </c>
      <c r="F1185" s="1">
        <v>1550</v>
      </c>
      <c r="G1185" s="1" t="s">
        <v>0</v>
      </c>
      <c r="H1185" s="1">
        <v>-401.29547119140602</v>
      </c>
    </row>
    <row r="1186" spans="1:8" ht="14.25" customHeight="1" x14ac:dyDescent="0.2">
      <c r="A1186" s="2">
        <v>46295.984317129631</v>
      </c>
      <c r="B1186" s="1">
        <v>1600</v>
      </c>
      <c r="C1186" s="1">
        <v>-9.6089430153369904E-2</v>
      </c>
      <c r="D1186" s="1">
        <v>1.9581604003906301</v>
      </c>
      <c r="E1186" s="2">
        <v>46295.984317129631</v>
      </c>
      <c r="F1186" s="1">
        <v>1600</v>
      </c>
      <c r="G1186" s="1" t="s">
        <v>0</v>
      </c>
      <c r="H1186" s="1">
        <v>-401.38885498046898</v>
      </c>
    </row>
    <row r="1187" spans="1:8" ht="14.25" customHeight="1" x14ac:dyDescent="0.2">
      <c r="A1187" s="2">
        <v>46295.984351851854</v>
      </c>
      <c r="B1187" s="1">
        <v>1650</v>
      </c>
      <c r="C1187" s="1">
        <v>-0.125860154628754</v>
      </c>
      <c r="D1187" s="1">
        <v>1.951904296875</v>
      </c>
      <c r="E1187" s="2">
        <v>46295.984351851854</v>
      </c>
      <c r="F1187" s="1">
        <v>1650</v>
      </c>
      <c r="G1187" s="1" t="s">
        <v>0</v>
      </c>
      <c r="H1187" s="1">
        <v>-401.00677490234398</v>
      </c>
    </row>
    <row r="1188" spans="1:8" ht="14.25" customHeight="1" x14ac:dyDescent="0.2">
      <c r="A1188" s="2">
        <v>46295.984386574077</v>
      </c>
      <c r="B1188" s="1">
        <v>1700</v>
      </c>
      <c r="C1188" s="1">
        <v>-0.15200029313564301</v>
      </c>
      <c r="D1188" s="1">
        <v>1.9464111328125</v>
      </c>
      <c r="E1188" s="2">
        <v>46295.984386574077</v>
      </c>
      <c r="F1188" s="1">
        <v>1700</v>
      </c>
      <c r="G1188" s="1" t="s">
        <v>0</v>
      </c>
      <c r="H1188" s="1">
        <v>-401.19674682617199</v>
      </c>
    </row>
    <row r="1189" spans="1:8" ht="14.25" customHeight="1" x14ac:dyDescent="0.2">
      <c r="A1189" s="2">
        <v>46295.9844212963</v>
      </c>
      <c r="B1189" s="1">
        <v>1750</v>
      </c>
      <c r="C1189" s="1">
        <v>-0.228968501091003</v>
      </c>
      <c r="D1189" s="1">
        <v>1.93023681640625</v>
      </c>
      <c r="E1189" s="2">
        <v>46295.9844212963</v>
      </c>
      <c r="F1189" s="1">
        <v>1750</v>
      </c>
      <c r="G1189" s="1" t="s">
        <v>0</v>
      </c>
      <c r="H1189" s="1">
        <v>-400.96694946289102</v>
      </c>
    </row>
    <row r="1190" spans="1:8" ht="14.25" customHeight="1" x14ac:dyDescent="0.2">
      <c r="A1190" s="2">
        <v>46295.984456018516</v>
      </c>
      <c r="B1190" s="1">
        <v>1800</v>
      </c>
      <c r="C1190" s="1">
        <v>-0.19266274571418801</v>
      </c>
      <c r="D1190" s="1">
        <v>1.9378662109375</v>
      </c>
      <c r="E1190" s="2">
        <v>46295.984456018516</v>
      </c>
      <c r="F1190" s="1">
        <v>1800</v>
      </c>
      <c r="G1190" s="1" t="s">
        <v>0</v>
      </c>
      <c r="H1190" s="1">
        <v>-401.40197753906301</v>
      </c>
    </row>
    <row r="1191" spans="1:8" ht="14.25" customHeight="1" x14ac:dyDescent="0.2">
      <c r="A1191" s="2">
        <v>46295.984490740739</v>
      </c>
      <c r="B1191" s="1">
        <v>1850</v>
      </c>
      <c r="C1191" s="1">
        <v>-0.27398765087127702</v>
      </c>
      <c r="D1191" s="1">
        <v>1.9207763671875</v>
      </c>
      <c r="E1191" s="2">
        <v>46295.984490740739</v>
      </c>
      <c r="F1191" s="1">
        <v>1850</v>
      </c>
      <c r="G1191" s="1" t="s">
        <v>0</v>
      </c>
      <c r="H1191" s="1">
        <v>-401.47705078125</v>
      </c>
    </row>
    <row r="1192" spans="1:8" ht="14.25" customHeight="1" x14ac:dyDescent="0.2">
      <c r="A1192" s="2">
        <v>46295.984525462962</v>
      </c>
      <c r="B1192" s="1">
        <v>1900</v>
      </c>
      <c r="C1192" s="1">
        <v>-0.30521059036254899</v>
      </c>
      <c r="D1192" s="1">
        <v>1.9142150878906301</v>
      </c>
      <c r="E1192" s="2">
        <v>46295.984525462962</v>
      </c>
      <c r="F1192" s="1">
        <v>1900</v>
      </c>
      <c r="G1192" s="1" t="s">
        <v>0</v>
      </c>
      <c r="H1192" s="1">
        <v>-401.42761230468801</v>
      </c>
    </row>
    <row r="1193" spans="1:8" ht="14.25" customHeight="1" x14ac:dyDescent="0.2">
      <c r="A1193" s="1"/>
      <c r="B1193" s="1"/>
      <c r="C1193" s="1"/>
      <c r="D1193" s="1"/>
      <c r="E1193" s="1"/>
      <c r="F1193" s="1"/>
      <c r="G1193" s="1"/>
      <c r="H1193" s="1"/>
    </row>
    <row r="1194" spans="1:8" ht="14.25" customHeight="1" x14ac:dyDescent="0.2">
      <c r="A1194" s="2">
        <v>46295.986631944441</v>
      </c>
      <c r="B1194" s="1">
        <v>-1500</v>
      </c>
      <c r="C1194" s="1">
        <v>288.02569580078102</v>
      </c>
      <c r="D1194" s="1">
        <v>62.5048828125</v>
      </c>
      <c r="E1194" s="2">
        <v>46295.986631944441</v>
      </c>
      <c r="F1194" s="1">
        <v>-1500</v>
      </c>
      <c r="G1194" s="1" t="s">
        <v>0</v>
      </c>
      <c r="H1194" s="1">
        <v>-404.54864501953102</v>
      </c>
    </row>
    <row r="1195" spans="1:8" ht="14.25" customHeight="1" x14ac:dyDescent="0.2">
      <c r="A1195" s="2">
        <v>46295.986666666664</v>
      </c>
      <c r="B1195" s="1">
        <v>-1450</v>
      </c>
      <c r="C1195" s="1">
        <v>288.86508178710898</v>
      </c>
      <c r="D1195" s="1">
        <v>62.6812744140625</v>
      </c>
      <c r="E1195" s="2">
        <v>46295.986666666664</v>
      </c>
      <c r="F1195" s="1">
        <v>-1450</v>
      </c>
      <c r="G1195" s="1" t="s">
        <v>0</v>
      </c>
      <c r="H1195" s="1">
        <v>-402.48291015625</v>
      </c>
    </row>
    <row r="1196" spans="1:8" ht="14.25" customHeight="1" x14ac:dyDescent="0.2">
      <c r="A1196" s="2">
        <v>46295.986701388887</v>
      </c>
      <c r="B1196" s="1">
        <v>-1400</v>
      </c>
      <c r="C1196" s="1">
        <v>288.72711181640602</v>
      </c>
      <c r="D1196" s="1">
        <v>62.6522827148438</v>
      </c>
      <c r="E1196" s="2">
        <v>46295.986701388887</v>
      </c>
      <c r="F1196" s="1">
        <v>-1400</v>
      </c>
      <c r="G1196" s="1" t="s">
        <v>0</v>
      </c>
      <c r="H1196" s="1">
        <v>-396.89407348632801</v>
      </c>
    </row>
    <row r="1197" spans="1:8" ht="14.25" customHeight="1" x14ac:dyDescent="0.2">
      <c r="A1197" s="2">
        <v>46295.98673611111</v>
      </c>
      <c r="B1197" s="1">
        <v>-1350</v>
      </c>
      <c r="C1197" s="1">
        <v>288.19705200195301</v>
      </c>
      <c r="D1197" s="1">
        <v>62.5408935546875</v>
      </c>
      <c r="E1197" s="2">
        <v>46295.98673611111</v>
      </c>
      <c r="F1197" s="1">
        <v>-1350</v>
      </c>
      <c r="G1197" s="1" t="s">
        <v>0</v>
      </c>
      <c r="H1197" s="1">
        <v>-400.95565795898398</v>
      </c>
    </row>
    <row r="1198" spans="1:8" ht="14.25" customHeight="1" x14ac:dyDescent="0.2">
      <c r="A1198" s="2">
        <v>46295.986770833333</v>
      </c>
      <c r="B1198" s="1">
        <v>-1300</v>
      </c>
      <c r="C1198" s="1">
        <v>288.395263671875</v>
      </c>
      <c r="D1198" s="1">
        <v>62.582550048828097</v>
      </c>
      <c r="E1198" s="2">
        <v>46295.986770833333</v>
      </c>
      <c r="F1198" s="1">
        <v>-1300</v>
      </c>
      <c r="G1198" s="1" t="s">
        <v>0</v>
      </c>
      <c r="H1198" s="1">
        <v>-402.44308471679699</v>
      </c>
    </row>
    <row r="1199" spans="1:8" ht="14.25" customHeight="1" x14ac:dyDescent="0.2">
      <c r="A1199" s="2">
        <v>46295.986805555556</v>
      </c>
      <c r="B1199" s="1">
        <v>-1250</v>
      </c>
      <c r="C1199" s="1">
        <v>288.87014770507801</v>
      </c>
      <c r="D1199" s="1">
        <v>62.682342529296903</v>
      </c>
      <c r="E1199" s="2">
        <v>46295.986805555556</v>
      </c>
      <c r="F1199" s="1">
        <v>-1250</v>
      </c>
      <c r="G1199" s="1" t="s">
        <v>0</v>
      </c>
      <c r="H1199" s="1">
        <v>-402.39395141601602</v>
      </c>
    </row>
    <row r="1200" spans="1:8" ht="14.25" customHeight="1" x14ac:dyDescent="0.2">
      <c r="A1200" s="2">
        <v>46295.986840277779</v>
      </c>
      <c r="B1200" s="1">
        <v>-1200</v>
      </c>
      <c r="C1200" s="1">
        <v>288.48675537109398</v>
      </c>
      <c r="D1200" s="1">
        <v>62.601776123046903</v>
      </c>
      <c r="E1200" s="2">
        <v>46295.986840277779</v>
      </c>
      <c r="F1200" s="1">
        <v>-1200</v>
      </c>
      <c r="G1200" s="1" t="s">
        <v>0</v>
      </c>
      <c r="H1200" s="1">
        <v>-401.87561035156301</v>
      </c>
    </row>
    <row r="1201" spans="1:8" ht="14.25" customHeight="1" x14ac:dyDescent="0.2">
      <c r="A1201" s="2">
        <v>46295.986875000002</v>
      </c>
      <c r="B1201" s="1">
        <v>-1150</v>
      </c>
      <c r="C1201" s="1">
        <v>288.74526977539102</v>
      </c>
      <c r="D1201" s="1">
        <v>62.656097412109403</v>
      </c>
      <c r="E1201" s="2">
        <v>46295.986875000002</v>
      </c>
      <c r="F1201" s="1">
        <v>-1150</v>
      </c>
      <c r="G1201" s="1" t="s">
        <v>0</v>
      </c>
      <c r="H1201" s="1">
        <v>-401.93893432617199</v>
      </c>
    </row>
    <row r="1202" spans="1:8" ht="14.25" customHeight="1" x14ac:dyDescent="0.2">
      <c r="A1202" s="2">
        <v>46295.986909722225</v>
      </c>
      <c r="B1202" s="1">
        <v>-1100</v>
      </c>
      <c r="C1202" s="1">
        <v>288.92315673828102</v>
      </c>
      <c r="D1202" s="1">
        <v>62.6934814453125</v>
      </c>
      <c r="E1202" s="2">
        <v>46295.986909722225</v>
      </c>
      <c r="F1202" s="1">
        <v>-1100</v>
      </c>
      <c r="G1202" s="1" t="s">
        <v>0</v>
      </c>
      <c r="H1202" s="1">
        <v>-401.82296752929699</v>
      </c>
    </row>
    <row r="1203" spans="1:8" ht="14.25" customHeight="1" x14ac:dyDescent="0.2">
      <c r="A1203" s="2">
        <v>46295.986944444441</v>
      </c>
      <c r="B1203" s="1">
        <v>-1050</v>
      </c>
      <c r="C1203" s="1">
        <v>288.61309814453102</v>
      </c>
      <c r="D1203" s="1">
        <v>62.628326416015597</v>
      </c>
      <c r="E1203" s="2">
        <v>46295.986944444441</v>
      </c>
      <c r="F1203" s="1">
        <v>-1050</v>
      </c>
      <c r="G1203" s="1" t="s">
        <v>0</v>
      </c>
      <c r="H1203" s="1">
        <v>-402.02545166015602</v>
      </c>
    </row>
    <row r="1204" spans="1:8" ht="14.25" customHeight="1" x14ac:dyDescent="0.2">
      <c r="A1204" s="2">
        <v>46295.986979166664</v>
      </c>
      <c r="B1204" s="1">
        <v>-1000</v>
      </c>
      <c r="C1204" s="1">
        <v>286.36361694335898</v>
      </c>
      <c r="D1204" s="1">
        <v>62.155609130859403</v>
      </c>
      <c r="E1204" s="2">
        <v>46295.986979166664</v>
      </c>
      <c r="F1204" s="1">
        <v>-1000</v>
      </c>
      <c r="G1204" s="1" t="s">
        <v>0</v>
      </c>
      <c r="H1204" s="1">
        <v>-401.70501708984398</v>
      </c>
    </row>
    <row r="1205" spans="1:8" ht="14.25" customHeight="1" x14ac:dyDescent="0.2">
      <c r="A1205" s="2">
        <v>46295.987013888887</v>
      </c>
      <c r="B1205" s="1">
        <v>-950</v>
      </c>
      <c r="C1205" s="1">
        <v>288.28997802734398</v>
      </c>
      <c r="D1205" s="1">
        <v>62.5604248046875</v>
      </c>
      <c r="E1205" s="2">
        <v>46295.987013888887</v>
      </c>
      <c r="F1205" s="1">
        <v>-950</v>
      </c>
      <c r="G1205" s="1" t="s">
        <v>0</v>
      </c>
      <c r="H1205" s="1">
        <v>-401.72698974609398</v>
      </c>
    </row>
    <row r="1206" spans="1:8" ht="14.25" customHeight="1" x14ac:dyDescent="0.2">
      <c r="A1206" s="2">
        <v>46295.98704861111</v>
      </c>
      <c r="B1206" s="1">
        <v>-900</v>
      </c>
      <c r="C1206" s="1">
        <v>287.79913330078102</v>
      </c>
      <c r="D1206" s="1">
        <v>62.457275390625</v>
      </c>
      <c r="E1206" s="2">
        <v>46295.98704861111</v>
      </c>
      <c r="F1206" s="1">
        <v>-900</v>
      </c>
      <c r="G1206" s="1" t="s">
        <v>0</v>
      </c>
      <c r="H1206" s="1">
        <v>-402.005615234375</v>
      </c>
    </row>
    <row r="1207" spans="1:8" ht="14.25" customHeight="1" x14ac:dyDescent="0.2">
      <c r="A1207" s="2">
        <v>46295.987083333333</v>
      </c>
      <c r="B1207" s="1">
        <v>-850</v>
      </c>
      <c r="C1207" s="1">
        <v>288.94784545898398</v>
      </c>
      <c r="D1207" s="1">
        <v>62.6986694335938</v>
      </c>
      <c r="E1207" s="2">
        <v>46295.987083333333</v>
      </c>
      <c r="F1207" s="1">
        <v>-850</v>
      </c>
      <c r="G1207" s="1" t="s">
        <v>0</v>
      </c>
      <c r="H1207" s="1">
        <v>-401.92718505859398</v>
      </c>
    </row>
    <row r="1208" spans="1:8" ht="14.25" customHeight="1" x14ac:dyDescent="0.2">
      <c r="A1208" s="2">
        <v>46295.987118055556</v>
      </c>
      <c r="B1208" s="1">
        <v>-800</v>
      </c>
      <c r="C1208" s="1">
        <v>288.32919311523398</v>
      </c>
      <c r="D1208" s="1">
        <v>62.5686645507813</v>
      </c>
      <c r="E1208" s="2">
        <v>46295.987118055556</v>
      </c>
      <c r="F1208" s="1">
        <v>-800</v>
      </c>
      <c r="G1208" s="1" t="s">
        <v>0</v>
      </c>
      <c r="H1208" s="1">
        <v>-402.02178955078102</v>
      </c>
    </row>
    <row r="1209" spans="1:8" ht="14.25" customHeight="1" x14ac:dyDescent="0.2">
      <c r="A1209" s="2">
        <v>46295.98715277778</v>
      </c>
      <c r="B1209" s="1">
        <v>-750</v>
      </c>
      <c r="C1209" s="1">
        <v>288.55139160156301</v>
      </c>
      <c r="D1209" s="1">
        <v>62.6153564453125</v>
      </c>
      <c r="E1209" s="2">
        <v>46295.98715277778</v>
      </c>
      <c r="F1209" s="1">
        <v>-750</v>
      </c>
      <c r="G1209" s="1" t="s">
        <v>0</v>
      </c>
      <c r="H1209" s="1">
        <v>-401.82403564453102</v>
      </c>
    </row>
    <row r="1210" spans="1:8" ht="14.25" customHeight="1" x14ac:dyDescent="0.2">
      <c r="A1210" s="2">
        <v>46295.987187500003</v>
      </c>
      <c r="B1210" s="1">
        <v>-700</v>
      </c>
      <c r="C1210" s="1">
        <v>289.20126342773398</v>
      </c>
      <c r="D1210" s="1">
        <v>62.751922607421903</v>
      </c>
      <c r="E1210" s="2">
        <v>46295.987187500003</v>
      </c>
      <c r="F1210" s="1">
        <v>-700</v>
      </c>
      <c r="G1210" s="1" t="s">
        <v>0</v>
      </c>
      <c r="H1210" s="1">
        <v>-401.67068481445301</v>
      </c>
    </row>
    <row r="1211" spans="1:8" ht="14.25" customHeight="1" x14ac:dyDescent="0.2">
      <c r="A1211" s="2">
        <v>46295.987222222226</v>
      </c>
      <c r="B1211" s="1">
        <v>-650</v>
      </c>
      <c r="C1211" s="1">
        <v>288.4541015625</v>
      </c>
      <c r="D1211" s="1">
        <v>62.5949096679688</v>
      </c>
      <c r="E1211" s="2">
        <v>46295.987222222226</v>
      </c>
      <c r="F1211" s="1">
        <v>-650</v>
      </c>
      <c r="G1211" s="1" t="s">
        <v>0</v>
      </c>
      <c r="H1211" s="1">
        <v>-401.85073852539102</v>
      </c>
    </row>
    <row r="1212" spans="1:8" ht="14.25" customHeight="1" x14ac:dyDescent="0.2">
      <c r="A1212" s="2">
        <v>46295.987256944441</v>
      </c>
      <c r="B1212" s="1">
        <v>-600</v>
      </c>
      <c r="C1212" s="1">
        <v>288.20574951171898</v>
      </c>
      <c r="D1212" s="1">
        <v>62.542724609375</v>
      </c>
      <c r="E1212" s="2">
        <v>46295.987256944441</v>
      </c>
      <c r="F1212" s="1">
        <v>-600</v>
      </c>
      <c r="G1212" s="1" t="s">
        <v>0</v>
      </c>
      <c r="H1212" s="1">
        <v>-401.85806274414102</v>
      </c>
    </row>
    <row r="1213" spans="1:8" ht="14.25" customHeight="1" x14ac:dyDescent="0.2">
      <c r="A1213" s="2">
        <v>46295.987291666665</v>
      </c>
      <c r="B1213" s="1">
        <v>-550</v>
      </c>
      <c r="C1213" s="1">
        <v>288.44247436523398</v>
      </c>
      <c r="D1213" s="1">
        <v>62.5924682617188</v>
      </c>
      <c r="E1213" s="2">
        <v>46295.987291666665</v>
      </c>
      <c r="F1213" s="1">
        <v>-550</v>
      </c>
      <c r="G1213" s="1" t="s">
        <v>0</v>
      </c>
      <c r="H1213" s="1">
        <v>-402.09121704101602</v>
      </c>
    </row>
    <row r="1214" spans="1:8" ht="14.25" customHeight="1" x14ac:dyDescent="0.2">
      <c r="A1214" s="2">
        <v>46295.987326388888</v>
      </c>
      <c r="B1214" s="1">
        <v>-500</v>
      </c>
      <c r="C1214" s="1">
        <v>289.15988159179699</v>
      </c>
      <c r="D1214" s="1">
        <v>62.7432250976563</v>
      </c>
      <c r="E1214" s="2">
        <v>46295.987326388888</v>
      </c>
      <c r="F1214" s="1">
        <v>-500</v>
      </c>
      <c r="G1214" s="1" t="s">
        <v>0</v>
      </c>
      <c r="H1214" s="1">
        <v>-401.94854736328102</v>
      </c>
    </row>
    <row r="1215" spans="1:8" ht="14.25" customHeight="1" x14ac:dyDescent="0.2">
      <c r="A1215" s="2">
        <v>46295.987361111111</v>
      </c>
      <c r="B1215" s="1">
        <v>-450</v>
      </c>
      <c r="C1215" s="1">
        <v>288.69299316406301</v>
      </c>
      <c r="D1215" s="1">
        <v>62.645111083984403</v>
      </c>
      <c r="E1215" s="2">
        <v>46295.987361111111</v>
      </c>
      <c r="F1215" s="1">
        <v>-450</v>
      </c>
      <c r="G1215" s="1" t="s">
        <v>0</v>
      </c>
      <c r="H1215" s="1">
        <v>-402.19940185546898</v>
      </c>
    </row>
    <row r="1216" spans="1:8" ht="14.25" customHeight="1" x14ac:dyDescent="0.2">
      <c r="A1216" s="2">
        <v>46295.987395833334</v>
      </c>
      <c r="B1216" s="1">
        <v>-400</v>
      </c>
      <c r="C1216" s="1">
        <v>289.06619262695301</v>
      </c>
      <c r="D1216" s="1">
        <v>62.723541259765597</v>
      </c>
      <c r="E1216" s="2">
        <v>46295.987395833334</v>
      </c>
      <c r="F1216" s="1">
        <v>-400</v>
      </c>
      <c r="G1216" s="1" t="s">
        <v>0</v>
      </c>
      <c r="H1216" s="1">
        <v>-402.18688964843801</v>
      </c>
    </row>
    <row r="1217" spans="1:8" ht="14.25" customHeight="1" x14ac:dyDescent="0.2">
      <c r="A1217" s="2">
        <v>46295.987430555557</v>
      </c>
      <c r="B1217" s="1">
        <v>-350</v>
      </c>
      <c r="C1217" s="1">
        <v>288.44757080078102</v>
      </c>
      <c r="D1217" s="1">
        <v>62.593536376953097</v>
      </c>
      <c r="E1217" s="2">
        <v>46295.987430555557</v>
      </c>
      <c r="F1217" s="1">
        <v>-350</v>
      </c>
      <c r="G1217" s="1" t="s">
        <v>0</v>
      </c>
      <c r="H1217" s="1">
        <v>-402.58148193359398</v>
      </c>
    </row>
    <row r="1218" spans="1:8" ht="14.25" customHeight="1" x14ac:dyDescent="0.2">
      <c r="A1218" s="2">
        <v>46295.98746527778</v>
      </c>
      <c r="B1218" s="1">
        <v>-300</v>
      </c>
      <c r="C1218" s="1">
        <v>288.593505859375</v>
      </c>
      <c r="D1218" s="1">
        <v>62.6242065429688</v>
      </c>
      <c r="E1218" s="2">
        <v>46295.98746527778</v>
      </c>
      <c r="F1218" s="1">
        <v>-300</v>
      </c>
      <c r="G1218" s="1" t="s">
        <v>0</v>
      </c>
      <c r="H1218" s="1">
        <v>-401.80023193359398</v>
      </c>
    </row>
    <row r="1219" spans="1:8" ht="14.25" customHeight="1" x14ac:dyDescent="0.2">
      <c r="A1219" s="2">
        <v>46295.987500000003</v>
      </c>
      <c r="B1219" s="1">
        <v>-250</v>
      </c>
      <c r="C1219" s="1">
        <v>288.52017211914102</v>
      </c>
      <c r="D1219" s="1">
        <v>62.608795166015597</v>
      </c>
      <c r="E1219" s="2">
        <v>46295.987500000003</v>
      </c>
      <c r="F1219" s="1">
        <v>-250</v>
      </c>
      <c r="G1219" s="1" t="s">
        <v>0</v>
      </c>
      <c r="H1219" s="1">
        <v>-401.50985717773398</v>
      </c>
    </row>
    <row r="1220" spans="1:8" ht="14.25" customHeight="1" x14ac:dyDescent="0.2">
      <c r="A1220" s="2">
        <v>46295.987534722219</v>
      </c>
      <c r="B1220" s="1">
        <v>-200</v>
      </c>
      <c r="C1220" s="1">
        <v>287.86810302734398</v>
      </c>
      <c r="D1220" s="1">
        <v>62.471771240234403</v>
      </c>
      <c r="E1220" s="2">
        <v>46295.987534722219</v>
      </c>
      <c r="F1220" s="1">
        <v>-200</v>
      </c>
      <c r="G1220" s="1" t="s">
        <v>0</v>
      </c>
      <c r="H1220" s="1">
        <v>-401.90933227539102</v>
      </c>
    </row>
    <row r="1221" spans="1:8" ht="14.25" customHeight="1" x14ac:dyDescent="0.2">
      <c r="A1221" s="2">
        <v>46295.987569444442</v>
      </c>
      <c r="B1221" s="1">
        <v>-150</v>
      </c>
      <c r="C1221" s="1">
        <v>287.82962036132801</v>
      </c>
      <c r="D1221" s="1">
        <v>62.4636840820313</v>
      </c>
      <c r="E1221" s="2">
        <v>46295.987569444442</v>
      </c>
      <c r="F1221" s="1">
        <v>-150</v>
      </c>
      <c r="G1221" s="1" t="s">
        <v>0</v>
      </c>
      <c r="H1221" s="1">
        <v>-401.10412597656301</v>
      </c>
    </row>
    <row r="1222" spans="1:8" ht="14.25" customHeight="1" x14ac:dyDescent="0.2">
      <c r="A1222" s="2">
        <v>46295.987604166665</v>
      </c>
      <c r="B1222" s="1">
        <v>-100</v>
      </c>
      <c r="C1222" s="1">
        <v>287.72506713867199</v>
      </c>
      <c r="D1222" s="1">
        <v>62.4417114257813</v>
      </c>
      <c r="E1222" s="2">
        <v>46295.987604166665</v>
      </c>
      <c r="F1222" s="1">
        <v>-100</v>
      </c>
      <c r="G1222" s="1" t="s">
        <v>0</v>
      </c>
      <c r="H1222" s="1">
        <v>-401.64260864257801</v>
      </c>
    </row>
    <row r="1223" spans="1:8" ht="14.25" customHeight="1" x14ac:dyDescent="0.2">
      <c r="A1223" s="2">
        <v>46295.987638888888</v>
      </c>
      <c r="B1223" s="1">
        <v>-50</v>
      </c>
      <c r="C1223" s="1">
        <v>286.13198852539102</v>
      </c>
      <c r="D1223" s="1">
        <v>62.10693359375</v>
      </c>
      <c r="E1223" s="2">
        <v>46295.987638888888</v>
      </c>
      <c r="F1223" s="1">
        <v>-50</v>
      </c>
      <c r="G1223" s="1" t="s">
        <v>0</v>
      </c>
      <c r="H1223" s="1">
        <v>-401.92276000976602</v>
      </c>
    </row>
    <row r="1224" spans="1:8" ht="14.25" customHeight="1" x14ac:dyDescent="0.2">
      <c r="A1224" s="2">
        <v>46295.987673611111</v>
      </c>
      <c r="B1224" s="1">
        <v>0</v>
      </c>
      <c r="C1224" s="1">
        <v>287.20736694335898</v>
      </c>
      <c r="D1224" s="1">
        <v>62.332916259765597</v>
      </c>
      <c r="E1224" s="2">
        <v>46295.987673611111</v>
      </c>
      <c r="F1224" s="1">
        <v>0</v>
      </c>
      <c r="G1224" s="1" t="s">
        <v>0</v>
      </c>
      <c r="H1224" s="1">
        <v>-401.77703857421898</v>
      </c>
    </row>
    <row r="1225" spans="1:8" ht="14.25" customHeight="1" x14ac:dyDescent="0.2">
      <c r="A1225" s="2">
        <v>46295.987708333334</v>
      </c>
      <c r="B1225" s="1">
        <v>50</v>
      </c>
      <c r="C1225" s="1">
        <v>278.83743286132801</v>
      </c>
      <c r="D1225" s="1">
        <v>60.5740356445313</v>
      </c>
      <c r="E1225" s="2">
        <v>46295.987708333334</v>
      </c>
      <c r="F1225" s="1">
        <v>50</v>
      </c>
      <c r="G1225" s="1" t="s">
        <v>0</v>
      </c>
      <c r="H1225" s="1">
        <v>-401.87179565429699</v>
      </c>
    </row>
    <row r="1226" spans="1:8" ht="14.25" customHeight="1" x14ac:dyDescent="0.2">
      <c r="A1226" s="2">
        <v>46295.987743055557</v>
      </c>
      <c r="B1226" s="1">
        <v>100</v>
      </c>
      <c r="C1226" s="1">
        <v>271.80862426757801</v>
      </c>
      <c r="D1226" s="1">
        <v>59.0969848632813</v>
      </c>
      <c r="E1226" s="2">
        <v>46295.987743055557</v>
      </c>
      <c r="F1226" s="1">
        <v>100</v>
      </c>
      <c r="G1226" s="1" t="s">
        <v>0</v>
      </c>
      <c r="H1226" s="1">
        <v>-403.21487426757801</v>
      </c>
    </row>
    <row r="1227" spans="1:8" ht="14.25" customHeight="1" x14ac:dyDescent="0.2">
      <c r="A1227" s="2">
        <v>46295.98777777778</v>
      </c>
      <c r="B1227" s="1">
        <v>150</v>
      </c>
      <c r="C1227" s="1">
        <v>264.137939453125</v>
      </c>
      <c r="D1227" s="1">
        <v>57.4850463867188</v>
      </c>
      <c r="E1227" s="2">
        <v>46295.98777777778</v>
      </c>
      <c r="F1227" s="1">
        <v>150</v>
      </c>
      <c r="G1227" s="1" t="s">
        <v>0</v>
      </c>
      <c r="H1227" s="1">
        <v>-401.69845581054699</v>
      </c>
    </row>
    <row r="1228" spans="1:8" ht="14.25" customHeight="1" x14ac:dyDescent="0.2">
      <c r="A1228" s="2">
        <v>46295.987812500003</v>
      </c>
      <c r="B1228" s="1">
        <v>200</v>
      </c>
      <c r="C1228" s="1">
        <v>259.47702026367199</v>
      </c>
      <c r="D1228" s="1">
        <v>56.505584716796903</v>
      </c>
      <c r="E1228" s="2">
        <v>46295.987812500003</v>
      </c>
      <c r="F1228" s="1">
        <v>200</v>
      </c>
      <c r="G1228" s="1" t="s">
        <v>0</v>
      </c>
      <c r="H1228" s="1">
        <v>-401.54129028320301</v>
      </c>
    </row>
    <row r="1229" spans="1:8" ht="14.25" customHeight="1" x14ac:dyDescent="0.2">
      <c r="A1229" s="2">
        <v>46295.987847222219</v>
      </c>
      <c r="B1229" s="1">
        <v>250</v>
      </c>
      <c r="C1229" s="1">
        <v>253.46478271484401</v>
      </c>
      <c r="D1229" s="1">
        <v>55.242156982421903</v>
      </c>
      <c r="E1229" s="2">
        <v>46295.987847222219</v>
      </c>
      <c r="F1229" s="1">
        <v>250</v>
      </c>
      <c r="G1229" s="1" t="s">
        <v>0</v>
      </c>
      <c r="H1229" s="1">
        <v>-401.81671142578102</v>
      </c>
    </row>
    <row r="1230" spans="1:8" ht="14.25" customHeight="1" x14ac:dyDescent="0.2">
      <c r="A1230" s="2">
        <v>46295.987881944442</v>
      </c>
      <c r="B1230" s="1">
        <v>300</v>
      </c>
      <c r="C1230" s="1">
        <v>245.93641662597699</v>
      </c>
      <c r="D1230" s="1">
        <v>53.660125732421903</v>
      </c>
      <c r="E1230" s="2">
        <v>46295.987881944442</v>
      </c>
      <c r="F1230" s="1">
        <v>300</v>
      </c>
      <c r="G1230" s="1" t="s">
        <v>0</v>
      </c>
      <c r="H1230" s="1">
        <v>-401.81488037109398</v>
      </c>
    </row>
    <row r="1231" spans="1:8" ht="14.25" customHeight="1" x14ac:dyDescent="0.2">
      <c r="A1231" s="2">
        <v>46295.987916666665</v>
      </c>
      <c r="B1231" s="1">
        <v>350</v>
      </c>
      <c r="C1231" s="1">
        <v>240.46151733398401</v>
      </c>
      <c r="D1231" s="1">
        <v>52.509613037109403</v>
      </c>
      <c r="E1231" s="2">
        <v>46295.987916666665</v>
      </c>
      <c r="F1231" s="1">
        <v>350</v>
      </c>
      <c r="G1231" s="1" t="s">
        <v>0</v>
      </c>
      <c r="H1231" s="1">
        <v>-401.84219360351602</v>
      </c>
    </row>
    <row r="1232" spans="1:8" ht="14.25" customHeight="1" x14ac:dyDescent="0.2">
      <c r="A1232" s="2">
        <v>46295.987951388888</v>
      </c>
      <c r="B1232" s="1">
        <v>400</v>
      </c>
      <c r="C1232" s="1">
        <v>231.88536071777301</v>
      </c>
      <c r="D1232" s="1">
        <v>50.7073974609375</v>
      </c>
      <c r="E1232" s="2">
        <v>46295.987951388888</v>
      </c>
      <c r="F1232" s="1">
        <v>400</v>
      </c>
      <c r="G1232" s="1" t="s">
        <v>0</v>
      </c>
      <c r="H1232" s="1">
        <v>-401.88247680664102</v>
      </c>
    </row>
    <row r="1233" spans="1:8" ht="14.25" customHeight="1" x14ac:dyDescent="0.2">
      <c r="A1233" s="2">
        <v>46295.987986111111</v>
      </c>
      <c r="B1233" s="1">
        <v>450</v>
      </c>
      <c r="C1233" s="1">
        <v>225.39680480957</v>
      </c>
      <c r="D1233" s="1">
        <v>49.3438720703125</v>
      </c>
      <c r="E1233" s="2">
        <v>46295.987986111111</v>
      </c>
      <c r="F1233" s="1">
        <v>450</v>
      </c>
      <c r="G1233" s="1" t="s">
        <v>0</v>
      </c>
      <c r="H1233" s="1">
        <v>-401.80709838867199</v>
      </c>
    </row>
    <row r="1234" spans="1:8" ht="14.25" customHeight="1" x14ac:dyDescent="0.2">
      <c r="A1234" s="2">
        <v>46295.988020833334</v>
      </c>
      <c r="B1234" s="1">
        <v>500</v>
      </c>
      <c r="C1234" s="1">
        <v>218.14944458007801</v>
      </c>
      <c r="D1234" s="1">
        <v>47.820892333984403</v>
      </c>
      <c r="E1234" s="2">
        <v>46295.988020833334</v>
      </c>
      <c r="F1234" s="1">
        <v>500</v>
      </c>
      <c r="G1234" s="1" t="s">
        <v>0</v>
      </c>
      <c r="H1234" s="1">
        <v>-401.89437866210898</v>
      </c>
    </row>
    <row r="1235" spans="1:8" ht="14.25" customHeight="1" x14ac:dyDescent="0.2">
      <c r="A1235" s="2">
        <v>46295.988055555557</v>
      </c>
      <c r="B1235" s="1">
        <v>550</v>
      </c>
      <c r="C1235" s="1">
        <v>211.46917724609401</v>
      </c>
      <c r="D1235" s="1">
        <v>46.417083740234403</v>
      </c>
      <c r="E1235" s="2">
        <v>46295.988055555557</v>
      </c>
      <c r="F1235" s="1">
        <v>550</v>
      </c>
      <c r="G1235" s="1" t="s">
        <v>0</v>
      </c>
      <c r="H1235" s="1">
        <v>-401.02630615234398</v>
      </c>
    </row>
    <row r="1236" spans="1:8" ht="14.25" customHeight="1" x14ac:dyDescent="0.2">
      <c r="A1236" s="2">
        <v>46295.98809027778</v>
      </c>
      <c r="B1236" s="1">
        <v>600</v>
      </c>
      <c r="C1236" s="1">
        <v>205.475830078125</v>
      </c>
      <c r="D1236" s="1">
        <v>45.157623291015597</v>
      </c>
      <c r="E1236" s="2">
        <v>46295.98809027778</v>
      </c>
      <c r="F1236" s="1">
        <v>600</v>
      </c>
      <c r="G1236" s="1" t="s">
        <v>0</v>
      </c>
      <c r="H1236" s="1">
        <v>-401.96853637695301</v>
      </c>
    </row>
    <row r="1237" spans="1:8" ht="14.25" customHeight="1" x14ac:dyDescent="0.2">
      <c r="A1237" s="2">
        <v>46295.988125000003</v>
      </c>
      <c r="B1237" s="1">
        <v>650</v>
      </c>
      <c r="C1237" s="1">
        <v>199.21235656738301</v>
      </c>
      <c r="D1237" s="1">
        <v>43.841400146484403</v>
      </c>
      <c r="E1237" s="2">
        <v>46295.988125000003</v>
      </c>
      <c r="F1237" s="1">
        <v>650</v>
      </c>
      <c r="G1237" s="1" t="s">
        <v>0</v>
      </c>
      <c r="H1237" s="1">
        <v>-402.01644897460898</v>
      </c>
    </row>
    <row r="1238" spans="1:8" ht="14.25" customHeight="1" x14ac:dyDescent="0.2">
      <c r="A1238" s="2">
        <v>46295.988159722219</v>
      </c>
      <c r="B1238" s="1">
        <v>700</v>
      </c>
      <c r="C1238" s="1">
        <v>194.86003112793</v>
      </c>
      <c r="D1238" s="1">
        <v>42.926788330078097</v>
      </c>
      <c r="E1238" s="2">
        <v>46295.988159722219</v>
      </c>
      <c r="F1238" s="1">
        <v>700</v>
      </c>
      <c r="G1238" s="1" t="s">
        <v>0</v>
      </c>
      <c r="H1238" s="1">
        <v>-402.09625244140602</v>
      </c>
    </row>
    <row r="1239" spans="1:8" ht="14.25" customHeight="1" x14ac:dyDescent="0.2">
      <c r="A1239" s="2">
        <v>46295.988194444442</v>
      </c>
      <c r="B1239" s="1">
        <v>750</v>
      </c>
      <c r="C1239" s="1">
        <v>189.65814208984401</v>
      </c>
      <c r="D1239" s="1">
        <v>41.833648681640597</v>
      </c>
      <c r="E1239" s="2">
        <v>46295.988194444442</v>
      </c>
      <c r="F1239" s="1">
        <v>750</v>
      </c>
      <c r="G1239" s="1" t="s">
        <v>0</v>
      </c>
      <c r="H1239" s="1">
        <v>-402.13043212890602</v>
      </c>
    </row>
    <row r="1240" spans="1:8" ht="14.25" customHeight="1" x14ac:dyDescent="0.2">
      <c r="A1240" s="2">
        <v>46295.988229166665</v>
      </c>
      <c r="B1240" s="1">
        <v>800</v>
      </c>
      <c r="C1240" s="1">
        <v>173.28932189941401</v>
      </c>
      <c r="D1240" s="1">
        <v>38.3938598632813</v>
      </c>
      <c r="E1240" s="2">
        <v>46295.988229166665</v>
      </c>
      <c r="F1240" s="1">
        <v>800</v>
      </c>
      <c r="G1240" s="1" t="s">
        <v>0</v>
      </c>
      <c r="H1240" s="1">
        <v>-401.97616577148398</v>
      </c>
    </row>
    <row r="1241" spans="1:8" ht="14.25" customHeight="1" x14ac:dyDescent="0.2">
      <c r="A1241" s="2">
        <v>46295.988263888888</v>
      </c>
      <c r="B1241" s="1">
        <v>850</v>
      </c>
      <c r="C1241" s="1">
        <v>162.58493041992199</v>
      </c>
      <c r="D1241" s="1">
        <v>36.1444091796875</v>
      </c>
      <c r="E1241" s="2">
        <v>46295.988263888888</v>
      </c>
      <c r="F1241" s="1">
        <v>850</v>
      </c>
      <c r="G1241" s="1" t="s">
        <v>0</v>
      </c>
      <c r="H1241" s="1">
        <v>-401.94839477539102</v>
      </c>
    </row>
    <row r="1242" spans="1:8" ht="14.25" customHeight="1" x14ac:dyDescent="0.2">
      <c r="A1242" s="2">
        <v>46295.988298611112</v>
      </c>
      <c r="B1242" s="1">
        <v>900</v>
      </c>
      <c r="C1242" s="1">
        <v>153.10476684570301</v>
      </c>
      <c r="D1242" s="1">
        <v>34.1522216796875</v>
      </c>
      <c r="E1242" s="2">
        <v>46295.988298611112</v>
      </c>
      <c r="F1242" s="1">
        <v>900</v>
      </c>
      <c r="G1242" s="1" t="s">
        <v>0</v>
      </c>
      <c r="H1242" s="1">
        <v>-401.75613403320301</v>
      </c>
    </row>
    <row r="1243" spans="1:8" ht="14.25" customHeight="1" x14ac:dyDescent="0.2">
      <c r="A1243" s="2">
        <v>46295.988333333335</v>
      </c>
      <c r="B1243" s="1">
        <v>950</v>
      </c>
      <c r="C1243" s="1">
        <v>143.53675842285199</v>
      </c>
      <c r="D1243" s="1">
        <v>32.141571044921903</v>
      </c>
      <c r="E1243" s="2">
        <v>46295.988333333335</v>
      </c>
      <c r="F1243" s="1">
        <v>950</v>
      </c>
      <c r="G1243" s="1" t="s">
        <v>0</v>
      </c>
      <c r="H1243" s="1">
        <v>-401.41662597656301</v>
      </c>
    </row>
    <row r="1244" spans="1:8" ht="14.25" customHeight="1" x14ac:dyDescent="0.2">
      <c r="A1244" s="2">
        <v>46295.988368055558</v>
      </c>
      <c r="B1244" s="1">
        <v>1000</v>
      </c>
      <c r="C1244" s="1">
        <v>134.34049987793</v>
      </c>
      <c r="D1244" s="1">
        <v>30.2090454101563</v>
      </c>
      <c r="E1244" s="2">
        <v>46295.988368055558</v>
      </c>
      <c r="F1244" s="1">
        <v>1000</v>
      </c>
      <c r="G1244" s="1" t="s">
        <v>0</v>
      </c>
      <c r="H1244" s="1">
        <v>-402.16094970703102</v>
      </c>
    </row>
    <row r="1245" spans="1:8" ht="14.25" customHeight="1" x14ac:dyDescent="0.2">
      <c r="A1245" s="2">
        <v>46295.988402777781</v>
      </c>
      <c r="B1245" s="1">
        <v>1050</v>
      </c>
      <c r="C1245" s="1">
        <v>125.558868408203</v>
      </c>
      <c r="D1245" s="1">
        <v>28.3636474609375</v>
      </c>
      <c r="E1245" s="2">
        <v>46295.988402777781</v>
      </c>
      <c r="F1245" s="1">
        <v>1050</v>
      </c>
      <c r="G1245" s="1" t="s">
        <v>0</v>
      </c>
      <c r="H1245" s="1">
        <v>-401.884765625</v>
      </c>
    </row>
    <row r="1246" spans="1:8" ht="14.25" customHeight="1" x14ac:dyDescent="0.2">
      <c r="A1246" s="2">
        <v>46295.988437499997</v>
      </c>
      <c r="B1246" s="1">
        <v>1100</v>
      </c>
      <c r="C1246" s="1">
        <v>119.503791809082</v>
      </c>
      <c r="D1246" s="1">
        <v>27.0912170410156</v>
      </c>
      <c r="E1246" s="2">
        <v>46295.988437499997</v>
      </c>
      <c r="F1246" s="1">
        <v>1100</v>
      </c>
      <c r="G1246" s="1" t="s">
        <v>0</v>
      </c>
      <c r="H1246" s="1">
        <v>-402.07855224609398</v>
      </c>
    </row>
    <row r="1247" spans="1:8" ht="14.25" customHeight="1" x14ac:dyDescent="0.2">
      <c r="A1247" s="2">
        <v>46295.98847222222</v>
      </c>
      <c r="B1247" s="1">
        <v>1150</v>
      </c>
      <c r="C1247" s="1">
        <v>107.59042358398401</v>
      </c>
      <c r="D1247" s="1">
        <v>24.5877075195313</v>
      </c>
      <c r="E1247" s="2">
        <v>46295.98847222222</v>
      </c>
      <c r="F1247" s="1">
        <v>1150</v>
      </c>
      <c r="G1247" s="1" t="s">
        <v>0</v>
      </c>
      <c r="H1247" s="1">
        <v>-401.898193359375</v>
      </c>
    </row>
    <row r="1248" spans="1:8" ht="14.25" customHeight="1" x14ac:dyDescent="0.2">
      <c r="A1248" s="2">
        <v>46295.988506944443</v>
      </c>
      <c r="B1248" s="1">
        <v>1200</v>
      </c>
      <c r="C1248" s="1">
        <v>102.048713684082</v>
      </c>
      <c r="D1248" s="1">
        <v>23.4231567382813</v>
      </c>
      <c r="E1248" s="2">
        <v>46295.988506944443</v>
      </c>
      <c r="F1248" s="1">
        <v>1200</v>
      </c>
      <c r="G1248" s="1" t="s">
        <v>0</v>
      </c>
      <c r="H1248" s="1">
        <v>-402.059326171875</v>
      </c>
    </row>
    <row r="1249" spans="1:8" ht="14.25" customHeight="1" x14ac:dyDescent="0.2">
      <c r="A1249" s="2">
        <v>46295.988541666666</v>
      </c>
      <c r="B1249" s="1">
        <v>1250</v>
      </c>
      <c r="C1249" s="1">
        <v>94.526153564453097</v>
      </c>
      <c r="D1249" s="1">
        <v>21.8423461914063</v>
      </c>
      <c r="E1249" s="2">
        <v>46295.988541666666</v>
      </c>
      <c r="F1249" s="1">
        <v>1250</v>
      </c>
      <c r="G1249" s="1" t="s">
        <v>0</v>
      </c>
      <c r="H1249" s="1">
        <v>-401.77429199218801</v>
      </c>
    </row>
    <row r="1250" spans="1:8" ht="14.25" customHeight="1" x14ac:dyDescent="0.2">
      <c r="A1250" s="2">
        <v>46295.988576388889</v>
      </c>
      <c r="B1250" s="1">
        <v>1300</v>
      </c>
      <c r="C1250" s="1">
        <v>87.954811096191406</v>
      </c>
      <c r="D1250" s="1">
        <v>20.46142578125</v>
      </c>
      <c r="E1250" s="2">
        <v>46295.988576388889</v>
      </c>
      <c r="F1250" s="1">
        <v>1300</v>
      </c>
      <c r="G1250" s="1" t="s">
        <v>0</v>
      </c>
      <c r="H1250" s="1">
        <v>-401.86752319335898</v>
      </c>
    </row>
    <row r="1251" spans="1:8" ht="14.25" customHeight="1" x14ac:dyDescent="0.2">
      <c r="A1251" s="2">
        <v>46295.988611111112</v>
      </c>
      <c r="B1251" s="1">
        <v>1350</v>
      </c>
      <c r="C1251" s="1">
        <v>78.580665588378906</v>
      </c>
      <c r="D1251" s="1">
        <v>18.4915161132813</v>
      </c>
      <c r="E1251" s="2">
        <v>46295.988611111112</v>
      </c>
      <c r="F1251" s="1">
        <v>1350</v>
      </c>
      <c r="G1251" s="1" t="s">
        <v>0</v>
      </c>
      <c r="H1251" s="1">
        <v>-401.76040649414102</v>
      </c>
    </row>
    <row r="1252" spans="1:8" ht="14.25" customHeight="1" x14ac:dyDescent="0.2">
      <c r="A1252" s="2">
        <v>46295.988657407404</v>
      </c>
      <c r="B1252" s="1">
        <v>1400</v>
      </c>
      <c r="C1252" s="1">
        <v>71.393577575683594</v>
      </c>
      <c r="D1252" s="1">
        <v>16.981201171875</v>
      </c>
      <c r="E1252" s="2">
        <v>46295.988657407404</v>
      </c>
      <c r="F1252" s="1">
        <v>1400</v>
      </c>
      <c r="G1252" s="1" t="s">
        <v>0</v>
      </c>
      <c r="H1252" s="1">
        <v>-401.81076049804699</v>
      </c>
    </row>
    <row r="1253" spans="1:8" ht="14.25" customHeight="1" x14ac:dyDescent="0.2">
      <c r="A1253" s="2">
        <v>46295.988692129627</v>
      </c>
      <c r="B1253" s="1">
        <v>1450</v>
      </c>
      <c r="C1253" s="1">
        <v>63.290134429931598</v>
      </c>
      <c r="D1253" s="1">
        <v>15.2783203125</v>
      </c>
      <c r="E1253" s="2">
        <v>46295.988692129627</v>
      </c>
      <c r="F1253" s="1">
        <v>1450</v>
      </c>
      <c r="G1253" s="1" t="s">
        <v>0</v>
      </c>
      <c r="H1253" s="1">
        <v>-401.99020385742199</v>
      </c>
    </row>
    <row r="1254" spans="1:8" ht="14.25" customHeight="1" x14ac:dyDescent="0.2">
      <c r="A1254" s="2">
        <v>46295.988726851851</v>
      </c>
      <c r="B1254" s="1">
        <v>1500</v>
      </c>
      <c r="C1254" s="1">
        <v>52.166774749755902</v>
      </c>
      <c r="D1254" s="1">
        <v>12.9408264160156</v>
      </c>
      <c r="E1254" s="2">
        <v>46295.988726851851</v>
      </c>
      <c r="F1254" s="1">
        <v>1500</v>
      </c>
      <c r="G1254" s="1" t="s">
        <v>0</v>
      </c>
      <c r="H1254" s="1">
        <v>-402.11929321289102</v>
      </c>
    </row>
    <row r="1255" spans="1:8" ht="14.25" customHeight="1" x14ac:dyDescent="0.2">
      <c r="A1255" s="2">
        <v>46295.988761574074</v>
      </c>
      <c r="B1255" s="1">
        <v>1550</v>
      </c>
      <c r="C1255" s="1">
        <v>43.8287963867188</v>
      </c>
      <c r="D1255" s="1">
        <v>11.1886596679688</v>
      </c>
      <c r="E1255" s="2">
        <v>46295.988761574074</v>
      </c>
      <c r="F1255" s="1">
        <v>1550</v>
      </c>
      <c r="G1255" s="1" t="s">
        <v>0</v>
      </c>
      <c r="H1255" s="1">
        <v>-401.80023193359398</v>
      </c>
    </row>
    <row r="1256" spans="1:8" ht="14.25" customHeight="1" x14ac:dyDescent="0.2">
      <c r="A1256" s="2">
        <v>46295.988796296297</v>
      </c>
      <c r="B1256" s="1">
        <v>1600</v>
      </c>
      <c r="C1256" s="1">
        <v>36.140689849853501</v>
      </c>
      <c r="D1256" s="1">
        <v>9.57305908203125</v>
      </c>
      <c r="E1256" s="2">
        <v>46295.988796296297</v>
      </c>
      <c r="F1256" s="1">
        <v>1600</v>
      </c>
      <c r="G1256" s="1" t="s">
        <v>0</v>
      </c>
      <c r="H1256" s="1">
        <v>-401.83685302734398</v>
      </c>
    </row>
    <row r="1257" spans="1:8" ht="14.25" customHeight="1" x14ac:dyDescent="0.2">
      <c r="A1257" s="2">
        <v>46295.98883101852</v>
      </c>
      <c r="B1257" s="1">
        <v>1650</v>
      </c>
      <c r="C1257" s="1">
        <v>29.294874191284201</v>
      </c>
      <c r="D1257" s="1">
        <v>8.13446044921875</v>
      </c>
      <c r="E1257" s="2">
        <v>46295.98883101852</v>
      </c>
      <c r="F1257" s="1">
        <v>1650</v>
      </c>
      <c r="G1257" s="1" t="s">
        <v>0</v>
      </c>
      <c r="H1257" s="1">
        <v>-401.676025390625</v>
      </c>
    </row>
    <row r="1258" spans="1:8" ht="14.25" customHeight="1" x14ac:dyDescent="0.2">
      <c r="A1258" s="2">
        <v>46295.988865740743</v>
      </c>
      <c r="B1258" s="1">
        <v>1700</v>
      </c>
      <c r="C1258" s="1">
        <v>24.0341701507568</v>
      </c>
      <c r="D1258" s="1">
        <v>7.0289611816406303</v>
      </c>
      <c r="E1258" s="2">
        <v>46295.988865740743</v>
      </c>
      <c r="F1258" s="1">
        <v>1700</v>
      </c>
      <c r="G1258" s="1" t="s">
        <v>0</v>
      </c>
      <c r="H1258" s="1">
        <v>-401.76818847656301</v>
      </c>
    </row>
    <row r="1259" spans="1:8" ht="14.25" customHeight="1" x14ac:dyDescent="0.2">
      <c r="A1259" s="2">
        <v>46295.988900462966</v>
      </c>
      <c r="B1259" s="1">
        <v>1750</v>
      </c>
      <c r="C1259" s="1">
        <v>18.096000671386701</v>
      </c>
      <c r="D1259" s="1">
        <v>5.7810974121093803</v>
      </c>
      <c r="E1259" s="2">
        <v>46295.988900462966</v>
      </c>
      <c r="F1259" s="1">
        <v>1750</v>
      </c>
      <c r="G1259" s="1" t="s">
        <v>0</v>
      </c>
      <c r="H1259" s="1">
        <v>-402.11364746093801</v>
      </c>
    </row>
    <row r="1260" spans="1:8" ht="14.25" customHeight="1" x14ac:dyDescent="0.2">
      <c r="A1260" s="2">
        <v>46295.988935185182</v>
      </c>
      <c r="B1260" s="1">
        <v>1800</v>
      </c>
      <c r="C1260" s="1">
        <v>13.3413982391357</v>
      </c>
      <c r="D1260" s="1">
        <v>4.7819519042968803</v>
      </c>
      <c r="E1260" s="2">
        <v>46295.988935185182</v>
      </c>
      <c r="F1260" s="1">
        <v>1800</v>
      </c>
      <c r="G1260" s="1" t="s">
        <v>0</v>
      </c>
      <c r="H1260" s="1">
        <v>-402.01156616210898</v>
      </c>
    </row>
    <row r="1261" spans="1:8" ht="14.25" customHeight="1" x14ac:dyDescent="0.2">
      <c r="A1261" s="2">
        <v>46295.988969907405</v>
      </c>
      <c r="B1261" s="1">
        <v>1850</v>
      </c>
      <c r="C1261" s="1">
        <v>9.8850898742675799</v>
      </c>
      <c r="D1261" s="1">
        <v>4.0556335449218803</v>
      </c>
      <c r="E1261" s="2">
        <v>46295.988969907405</v>
      </c>
      <c r="F1261" s="1">
        <v>1850</v>
      </c>
      <c r="G1261" s="1" t="s">
        <v>0</v>
      </c>
      <c r="H1261" s="1">
        <v>-402.02957153320301</v>
      </c>
    </row>
    <row r="1262" spans="1:8" ht="14.25" customHeight="1" x14ac:dyDescent="0.2">
      <c r="A1262" s="2">
        <v>46295.989004629628</v>
      </c>
      <c r="B1262" s="1">
        <v>1900</v>
      </c>
      <c r="C1262" s="1">
        <v>7.4540562629699698</v>
      </c>
      <c r="D1262" s="1">
        <v>3.5447692871093799</v>
      </c>
      <c r="E1262" s="2">
        <v>46295.989004629628</v>
      </c>
      <c r="F1262" s="1">
        <v>1900</v>
      </c>
      <c r="G1262" s="1" t="s">
        <v>0</v>
      </c>
      <c r="H1262" s="1">
        <v>-402.33856201171898</v>
      </c>
    </row>
    <row r="1263" spans="1:8" ht="14.25" customHeight="1" x14ac:dyDescent="0.2">
      <c r="A1263" s="2">
        <v>46295.989039351851</v>
      </c>
      <c r="B1263" s="1">
        <v>1950</v>
      </c>
      <c r="C1263" s="1">
        <v>5.1174173355102504</v>
      </c>
      <c r="D1263" s="1">
        <v>3.0537414550781299</v>
      </c>
      <c r="E1263" s="2">
        <v>46295.989039351851</v>
      </c>
      <c r="F1263" s="1">
        <v>1950</v>
      </c>
      <c r="G1263" s="1" t="s">
        <v>0</v>
      </c>
      <c r="H1263" s="1">
        <v>-402.47146606445301</v>
      </c>
    </row>
    <row r="1264" spans="1:8" ht="14.25" customHeight="1" x14ac:dyDescent="0.2">
      <c r="A1264" s="2">
        <v>46295.989074074074</v>
      </c>
      <c r="B1264" s="1">
        <v>2000</v>
      </c>
      <c r="C1264" s="1">
        <v>3.5025372505188002</v>
      </c>
      <c r="D1264" s="1">
        <v>2.7143859863281299</v>
      </c>
      <c r="E1264" s="2">
        <v>46295.989074074074</v>
      </c>
      <c r="F1264" s="1">
        <v>2000</v>
      </c>
      <c r="G1264" s="1" t="s">
        <v>0</v>
      </c>
      <c r="H1264" s="1">
        <v>-402.07839965820301</v>
      </c>
    </row>
    <row r="1265" spans="1:8" ht="14.25" customHeight="1" x14ac:dyDescent="0.2">
      <c r="A1265" s="2">
        <v>46295.989108796297</v>
      </c>
      <c r="B1265" s="1">
        <v>2050</v>
      </c>
      <c r="C1265" s="1">
        <v>2.3792371749877899</v>
      </c>
      <c r="D1265" s="1">
        <v>2.47833251953125</v>
      </c>
      <c r="E1265" s="2">
        <v>46295.989108796297</v>
      </c>
      <c r="F1265" s="1">
        <v>2050</v>
      </c>
      <c r="G1265" s="1" t="s">
        <v>0</v>
      </c>
      <c r="H1265" s="1">
        <v>-402.10067749023398</v>
      </c>
    </row>
    <row r="1266" spans="1:8" ht="14.25" customHeight="1" x14ac:dyDescent="0.2">
      <c r="A1266" s="2">
        <v>46295.98914351852</v>
      </c>
      <c r="B1266" s="1">
        <v>2100</v>
      </c>
      <c r="C1266" s="1">
        <v>1.44254863262177</v>
      </c>
      <c r="D1266" s="1">
        <v>2.281494140625</v>
      </c>
      <c r="E1266" s="2">
        <v>46295.98914351852</v>
      </c>
      <c r="F1266" s="1">
        <v>2100</v>
      </c>
      <c r="G1266" s="1" t="s">
        <v>0</v>
      </c>
      <c r="H1266" s="1">
        <v>-402.06588745117199</v>
      </c>
    </row>
    <row r="1267" spans="1:8" ht="14.25" customHeight="1" x14ac:dyDescent="0.2">
      <c r="A1267" s="2">
        <v>46295.989178240743</v>
      </c>
      <c r="B1267" s="1">
        <v>2150</v>
      </c>
      <c r="C1267" s="1">
        <v>0.68738883733749401</v>
      </c>
      <c r="D1267" s="1">
        <v>2.122802734375</v>
      </c>
      <c r="E1267" s="2">
        <v>46295.989178240743</v>
      </c>
      <c r="F1267" s="1">
        <v>2150</v>
      </c>
      <c r="G1267" s="1" t="s">
        <v>0</v>
      </c>
      <c r="H1267" s="1">
        <v>-402.28256225585898</v>
      </c>
    </row>
    <row r="1268" spans="1:8" ht="14.25" customHeight="1" x14ac:dyDescent="0.2">
      <c r="A1268" s="2">
        <v>46295.989212962966</v>
      </c>
      <c r="B1268" s="1">
        <v>2200</v>
      </c>
      <c r="C1268" s="1">
        <v>0.25171974301338201</v>
      </c>
      <c r="D1268" s="1">
        <v>2.03125</v>
      </c>
      <c r="E1268" s="2">
        <v>46295.989212962966</v>
      </c>
      <c r="F1268" s="1">
        <v>2200</v>
      </c>
      <c r="G1268" s="1" t="s">
        <v>0</v>
      </c>
      <c r="H1268" s="1">
        <v>-402.12799072265602</v>
      </c>
    </row>
    <row r="1269" spans="1:8" ht="14.25" customHeight="1" x14ac:dyDescent="0.2">
      <c r="A1269" s="2">
        <v>46295.989247685182</v>
      </c>
      <c r="B1269" s="1">
        <v>2250</v>
      </c>
      <c r="C1269" s="1">
        <v>-6.8497054278850597E-2</v>
      </c>
      <c r="D1269" s="1">
        <v>1.9639587402343801</v>
      </c>
      <c r="E1269" s="2">
        <v>46295.989247685182</v>
      </c>
      <c r="F1269" s="1">
        <v>2250</v>
      </c>
      <c r="G1269" s="1" t="s">
        <v>0</v>
      </c>
      <c r="H1269" s="1">
        <v>-402.47772216796898</v>
      </c>
    </row>
    <row r="1270" spans="1:8" ht="14.25" customHeight="1" x14ac:dyDescent="0.2">
      <c r="A1270" s="2">
        <v>46295.989282407405</v>
      </c>
      <c r="B1270" s="1">
        <v>2300</v>
      </c>
      <c r="C1270" s="1">
        <v>-0.13893023133277899</v>
      </c>
      <c r="D1270" s="1">
        <v>1.94915771484375</v>
      </c>
      <c r="E1270" s="2">
        <v>46295.989282407405</v>
      </c>
      <c r="F1270" s="1">
        <v>2300</v>
      </c>
      <c r="G1270" s="1" t="s">
        <v>0</v>
      </c>
      <c r="H1270" s="1">
        <v>-402.10723876953102</v>
      </c>
    </row>
    <row r="1271" spans="1:8" ht="14.25" customHeight="1" x14ac:dyDescent="0.2">
      <c r="A1271" s="2">
        <v>46295.989317129628</v>
      </c>
      <c r="B1271" s="1">
        <v>2350</v>
      </c>
      <c r="C1271" s="1">
        <v>2.1541228517890001E-2</v>
      </c>
      <c r="D1271" s="1">
        <v>1.9828796386718801</v>
      </c>
      <c r="E1271" s="2">
        <v>46295.989317129628</v>
      </c>
      <c r="F1271" s="1">
        <v>2350</v>
      </c>
      <c r="G1271" s="1" t="s">
        <v>0</v>
      </c>
      <c r="H1271" s="1">
        <v>-401.50665283203102</v>
      </c>
    </row>
    <row r="1272" spans="1:8" ht="14.25" customHeight="1" x14ac:dyDescent="0.2">
      <c r="A1272" s="2">
        <v>46295.989351851851</v>
      </c>
      <c r="B1272" s="1">
        <v>2400</v>
      </c>
      <c r="C1272" s="1">
        <v>-2.4204028770327599E-2</v>
      </c>
      <c r="D1272" s="1">
        <v>1.9732666015625</v>
      </c>
      <c r="E1272" s="2">
        <v>46295.989351851851</v>
      </c>
      <c r="F1272" s="1">
        <v>2400</v>
      </c>
      <c r="G1272" s="1" t="s">
        <v>0</v>
      </c>
      <c r="H1272" s="1">
        <v>-402.30499267578102</v>
      </c>
    </row>
    <row r="1273" spans="1:8" ht="14.25" customHeight="1" x14ac:dyDescent="0.2">
      <c r="A1273" s="2">
        <v>46295.989386574074</v>
      </c>
      <c r="B1273" s="1">
        <v>2450</v>
      </c>
      <c r="C1273" s="1">
        <v>-0.151274189352989</v>
      </c>
      <c r="D1273" s="1">
        <v>1.9465637207031301</v>
      </c>
      <c r="E1273" s="2">
        <v>46295.989386574074</v>
      </c>
      <c r="F1273" s="1">
        <v>2450</v>
      </c>
      <c r="G1273" s="1" t="s">
        <v>0</v>
      </c>
      <c r="H1273" s="1">
        <v>-402.38067626953102</v>
      </c>
    </row>
    <row r="1274" spans="1:8" ht="14.25" customHeight="1" x14ac:dyDescent="0.2">
      <c r="A1274" s="2">
        <v>46295.989421296297</v>
      </c>
      <c r="B1274" s="1">
        <v>2500</v>
      </c>
      <c r="C1274" s="1">
        <v>-0.22679015994071999</v>
      </c>
      <c r="D1274" s="1">
        <v>1.9306945800781301</v>
      </c>
      <c r="E1274" s="2">
        <v>46295.989421296297</v>
      </c>
      <c r="F1274" s="1">
        <v>2500</v>
      </c>
      <c r="G1274" s="1" t="s">
        <v>0</v>
      </c>
      <c r="H1274" s="1">
        <v>-402.545166015625</v>
      </c>
    </row>
    <row r="1275" spans="1:8" ht="14.25" customHeight="1" x14ac:dyDescent="0.2">
      <c r="A1275" s="1"/>
      <c r="B1275" s="1"/>
      <c r="C1275" s="1"/>
      <c r="D1275" s="1"/>
      <c r="E1275" s="1"/>
      <c r="F1275" s="1"/>
      <c r="G1275" s="1"/>
      <c r="H1275" s="1"/>
    </row>
    <row r="1276" spans="1:8" ht="14.25" customHeight="1" x14ac:dyDescent="0.2">
      <c r="A1276" s="2">
        <v>46295.991863425923</v>
      </c>
      <c r="B1276" s="1">
        <v>-1500</v>
      </c>
      <c r="C1276" s="1">
        <v>287.22332763671898</v>
      </c>
      <c r="D1276" s="1">
        <v>62.336273193359403</v>
      </c>
      <c r="E1276" s="2">
        <v>46295.991863425923</v>
      </c>
      <c r="F1276" s="1">
        <v>-1500</v>
      </c>
      <c r="G1276" s="1" t="s">
        <v>0</v>
      </c>
      <c r="H1276" s="1">
        <v>-402.22747802734398</v>
      </c>
    </row>
    <row r="1277" spans="1:8" ht="14.25" customHeight="1" x14ac:dyDescent="0.2">
      <c r="A1277" s="2">
        <v>46295.991898148146</v>
      </c>
      <c r="B1277" s="1">
        <v>-1450</v>
      </c>
      <c r="C1277" s="1">
        <v>287.76937866210898</v>
      </c>
      <c r="D1277" s="1">
        <v>62.451019287109403</v>
      </c>
      <c r="E1277" s="2">
        <v>46295.991898148146</v>
      </c>
      <c r="F1277" s="1">
        <v>-1450</v>
      </c>
      <c r="G1277" s="1" t="s">
        <v>0</v>
      </c>
      <c r="H1277" s="1">
        <v>-404.24636840820301</v>
      </c>
    </row>
    <row r="1278" spans="1:8" ht="14.25" customHeight="1" x14ac:dyDescent="0.2">
      <c r="A1278" s="2">
        <v>46295.991932870369</v>
      </c>
      <c r="B1278" s="1">
        <v>-1400</v>
      </c>
      <c r="C1278" s="1">
        <v>287.89935302734398</v>
      </c>
      <c r="D1278" s="1">
        <v>62.4783325195313</v>
      </c>
      <c r="E1278" s="2">
        <v>46295.991932870369</v>
      </c>
      <c r="F1278" s="1">
        <v>-1400</v>
      </c>
      <c r="G1278" s="1" t="s">
        <v>0</v>
      </c>
      <c r="H1278" s="1">
        <v>-402.86056518554699</v>
      </c>
    </row>
    <row r="1279" spans="1:8" ht="14.25" customHeight="1" x14ac:dyDescent="0.2">
      <c r="A1279" s="2">
        <v>46295.991967592592</v>
      </c>
      <c r="B1279" s="1">
        <v>-1350</v>
      </c>
      <c r="C1279" s="1">
        <v>287.96615600585898</v>
      </c>
      <c r="D1279" s="1">
        <v>62.4923706054688</v>
      </c>
      <c r="E1279" s="2">
        <v>46295.991967592592</v>
      </c>
      <c r="F1279" s="1">
        <v>-1350</v>
      </c>
      <c r="G1279" s="1" t="s">
        <v>0</v>
      </c>
      <c r="H1279" s="1">
        <v>-402.96493530273398</v>
      </c>
    </row>
    <row r="1280" spans="1:8" ht="14.25" customHeight="1" x14ac:dyDescent="0.2">
      <c r="A1280" s="2">
        <v>46295.992002314815</v>
      </c>
      <c r="B1280" s="1">
        <v>-1300</v>
      </c>
      <c r="C1280" s="1">
        <v>288.24353027343801</v>
      </c>
      <c r="D1280" s="1">
        <v>62.5506591796875</v>
      </c>
      <c r="E1280" s="2">
        <v>46295.992002314815</v>
      </c>
      <c r="F1280" s="1">
        <v>-1300</v>
      </c>
      <c r="G1280" s="1" t="s">
        <v>0</v>
      </c>
      <c r="H1280" s="1">
        <v>-403.17001342773398</v>
      </c>
    </row>
    <row r="1281" spans="1:8" ht="14.25" customHeight="1" x14ac:dyDescent="0.2">
      <c r="A1281" s="2">
        <v>46295.992037037038</v>
      </c>
      <c r="B1281" s="1">
        <v>-1250</v>
      </c>
      <c r="C1281" s="1">
        <v>288.369873046875</v>
      </c>
      <c r="D1281" s="1">
        <v>62.5772094726563</v>
      </c>
      <c r="E1281" s="2">
        <v>46295.992037037038</v>
      </c>
      <c r="F1281" s="1">
        <v>-1250</v>
      </c>
      <c r="G1281" s="1" t="s">
        <v>0</v>
      </c>
      <c r="H1281" s="1">
        <v>-398.36837768554699</v>
      </c>
    </row>
    <row r="1282" spans="1:8" ht="14.25" customHeight="1" x14ac:dyDescent="0.2">
      <c r="A1282" s="2">
        <v>46295.992071759261</v>
      </c>
      <c r="B1282" s="1">
        <v>-1200</v>
      </c>
      <c r="C1282" s="1">
        <v>288.40762329101602</v>
      </c>
      <c r="D1282" s="1">
        <v>62.5851440429688</v>
      </c>
      <c r="E1282" s="2">
        <v>46295.992071759261</v>
      </c>
      <c r="F1282" s="1">
        <v>-1200</v>
      </c>
      <c r="G1282" s="1" t="s">
        <v>0</v>
      </c>
      <c r="H1282" s="1">
        <v>-403.17184448242199</v>
      </c>
    </row>
    <row r="1283" spans="1:8" ht="14.25" customHeight="1" x14ac:dyDescent="0.2">
      <c r="A1283" s="2">
        <v>46295.992106481484</v>
      </c>
      <c r="B1283" s="1">
        <v>-1150</v>
      </c>
      <c r="C1283" s="1">
        <v>288.199951171875</v>
      </c>
      <c r="D1283" s="1">
        <v>62.54150390625</v>
      </c>
      <c r="E1283" s="2">
        <v>46295.992106481484</v>
      </c>
      <c r="F1283" s="1">
        <v>-1150</v>
      </c>
      <c r="G1283" s="1" t="s">
        <v>0</v>
      </c>
      <c r="H1283" s="1">
        <v>-403.27865600585898</v>
      </c>
    </row>
    <row r="1284" spans="1:8" ht="14.25" customHeight="1" x14ac:dyDescent="0.2">
      <c r="A1284" s="2">
        <v>46295.9921412037</v>
      </c>
      <c r="B1284" s="1">
        <v>-1100</v>
      </c>
      <c r="C1284" s="1">
        <v>288.74453735351602</v>
      </c>
      <c r="D1284" s="1">
        <v>62.6559448242188</v>
      </c>
      <c r="E1284" s="2">
        <v>46295.9921412037</v>
      </c>
      <c r="F1284" s="1">
        <v>-1100</v>
      </c>
      <c r="G1284" s="1" t="s">
        <v>0</v>
      </c>
      <c r="H1284" s="1">
        <v>-403.00506591796898</v>
      </c>
    </row>
    <row r="1285" spans="1:8" ht="14.25" customHeight="1" x14ac:dyDescent="0.2">
      <c r="A1285" s="2">
        <v>46295.992175925923</v>
      </c>
      <c r="B1285" s="1">
        <v>-1050</v>
      </c>
      <c r="C1285" s="1">
        <v>288.60366821289102</v>
      </c>
      <c r="D1285" s="1">
        <v>62.6263427734375</v>
      </c>
      <c r="E1285" s="2">
        <v>46295.992175925923</v>
      </c>
      <c r="F1285" s="1">
        <v>-1050</v>
      </c>
      <c r="G1285" s="1" t="s">
        <v>0</v>
      </c>
      <c r="H1285" s="1">
        <v>-403.91799926757801</v>
      </c>
    </row>
    <row r="1286" spans="1:8" ht="14.25" customHeight="1" x14ac:dyDescent="0.2">
      <c r="A1286" s="2">
        <v>46295.992210648146</v>
      </c>
      <c r="B1286" s="1">
        <v>-1000</v>
      </c>
      <c r="C1286" s="1">
        <v>288.32992553710898</v>
      </c>
      <c r="D1286" s="1">
        <v>62.568817138671903</v>
      </c>
      <c r="E1286" s="2">
        <v>46295.992210648146</v>
      </c>
      <c r="F1286" s="1">
        <v>-1000</v>
      </c>
      <c r="G1286" s="1" t="s">
        <v>0</v>
      </c>
      <c r="H1286" s="1">
        <v>-403.341064453125</v>
      </c>
    </row>
    <row r="1287" spans="1:8" ht="14.25" customHeight="1" x14ac:dyDescent="0.2">
      <c r="A1287" s="2">
        <v>46295.992245370369</v>
      </c>
      <c r="B1287" s="1">
        <v>-950</v>
      </c>
      <c r="C1287" s="1">
        <v>288.08087158203102</v>
      </c>
      <c r="D1287" s="1">
        <v>62.5164794921875</v>
      </c>
      <c r="E1287" s="2">
        <v>46295.992245370369</v>
      </c>
      <c r="F1287" s="1">
        <v>-950</v>
      </c>
      <c r="G1287" s="1" t="s">
        <v>0</v>
      </c>
      <c r="H1287" s="1">
        <v>-403.53088378906301</v>
      </c>
    </row>
    <row r="1288" spans="1:8" ht="14.25" customHeight="1" x14ac:dyDescent="0.2">
      <c r="A1288" s="2">
        <v>46295.992280092592</v>
      </c>
      <c r="B1288" s="1">
        <v>-900</v>
      </c>
      <c r="C1288" s="1">
        <v>287.804931640625</v>
      </c>
      <c r="D1288" s="1">
        <v>62.45849609375</v>
      </c>
      <c r="E1288" s="2">
        <v>46295.992280092592</v>
      </c>
      <c r="F1288" s="1">
        <v>-900</v>
      </c>
      <c r="G1288" s="1" t="s">
        <v>0</v>
      </c>
      <c r="H1288" s="1">
        <v>-403.32595825195301</v>
      </c>
    </row>
    <row r="1289" spans="1:8" ht="14.25" customHeight="1" x14ac:dyDescent="0.2">
      <c r="A1289" s="2">
        <v>46295.992314814815</v>
      </c>
      <c r="B1289" s="1">
        <v>-850</v>
      </c>
      <c r="C1289" s="1">
        <v>288.592041015625</v>
      </c>
      <c r="D1289" s="1">
        <v>62.6239013671875</v>
      </c>
      <c r="E1289" s="2">
        <v>46295.992314814815</v>
      </c>
      <c r="F1289" s="1">
        <v>-850</v>
      </c>
      <c r="G1289" s="1" t="s">
        <v>0</v>
      </c>
      <c r="H1289" s="1">
        <v>-403.25286865234398</v>
      </c>
    </row>
    <row r="1290" spans="1:8" ht="14.25" customHeight="1" x14ac:dyDescent="0.2">
      <c r="A1290" s="2">
        <v>46295.992349537039</v>
      </c>
      <c r="B1290" s="1">
        <v>-800</v>
      </c>
      <c r="C1290" s="1">
        <v>288.201416015625</v>
      </c>
      <c r="D1290" s="1">
        <v>62.5418090820313</v>
      </c>
      <c r="E1290" s="2">
        <v>46295.992349537039</v>
      </c>
      <c r="F1290" s="1">
        <v>-800</v>
      </c>
      <c r="G1290" s="1" t="s">
        <v>0</v>
      </c>
      <c r="H1290" s="1">
        <v>-403.23181152343801</v>
      </c>
    </row>
    <row r="1291" spans="1:8" ht="14.25" customHeight="1" x14ac:dyDescent="0.2">
      <c r="A1291" s="2">
        <v>46295.992384259262</v>
      </c>
      <c r="B1291" s="1">
        <v>-750</v>
      </c>
      <c r="C1291" s="1">
        <v>288.01913452148398</v>
      </c>
      <c r="D1291" s="1">
        <v>62.503509521484403</v>
      </c>
      <c r="E1291" s="2">
        <v>46295.992384259262</v>
      </c>
      <c r="F1291" s="1">
        <v>-750</v>
      </c>
      <c r="G1291" s="1" t="s">
        <v>0</v>
      </c>
      <c r="H1291" s="1">
        <v>-403.26950073242199</v>
      </c>
    </row>
    <row r="1292" spans="1:8" ht="14.25" customHeight="1" x14ac:dyDescent="0.2">
      <c r="A1292" s="2">
        <v>46295.992418981485</v>
      </c>
      <c r="B1292" s="1">
        <v>-700</v>
      </c>
      <c r="C1292" s="1">
        <v>288.39889526367199</v>
      </c>
      <c r="D1292" s="1">
        <v>62.5833129882813</v>
      </c>
      <c r="E1292" s="2">
        <v>46295.992418981485</v>
      </c>
      <c r="F1292" s="1">
        <v>-700</v>
      </c>
      <c r="G1292" s="1" t="s">
        <v>0</v>
      </c>
      <c r="H1292" s="1">
        <v>-403.35159301757801</v>
      </c>
    </row>
    <row r="1293" spans="1:8" ht="14.25" customHeight="1" x14ac:dyDescent="0.2">
      <c r="A1293" s="2">
        <v>46295.9924537037</v>
      </c>
      <c r="B1293" s="1">
        <v>-650</v>
      </c>
      <c r="C1293" s="1">
        <v>288.05691528320301</v>
      </c>
      <c r="D1293" s="1">
        <v>62.511444091796903</v>
      </c>
      <c r="E1293" s="2">
        <v>46295.9924537037</v>
      </c>
      <c r="F1293" s="1">
        <v>-650</v>
      </c>
      <c r="G1293" s="1" t="s">
        <v>0</v>
      </c>
      <c r="H1293" s="1">
        <v>-403.24645996093801</v>
      </c>
    </row>
    <row r="1294" spans="1:8" ht="14.25" customHeight="1" x14ac:dyDescent="0.2">
      <c r="A1294" s="2">
        <v>46295.992488425924</v>
      </c>
      <c r="B1294" s="1">
        <v>-600</v>
      </c>
      <c r="C1294" s="1">
        <v>288.28201293945301</v>
      </c>
      <c r="D1294" s="1">
        <v>62.558746337890597</v>
      </c>
      <c r="E1294" s="2">
        <v>46295.992488425924</v>
      </c>
      <c r="F1294" s="1">
        <v>-600</v>
      </c>
      <c r="G1294" s="1" t="s">
        <v>0</v>
      </c>
      <c r="H1294" s="1">
        <v>-403.32290649414102</v>
      </c>
    </row>
    <row r="1295" spans="1:8" ht="14.25" customHeight="1" x14ac:dyDescent="0.2">
      <c r="A1295" s="2">
        <v>46295.992523148147</v>
      </c>
      <c r="B1295" s="1">
        <v>-550</v>
      </c>
      <c r="C1295" s="1">
        <v>288.04312133789102</v>
      </c>
      <c r="D1295" s="1">
        <v>62.508544921875</v>
      </c>
      <c r="E1295" s="2">
        <v>46295.992523148147</v>
      </c>
      <c r="F1295" s="1">
        <v>-550</v>
      </c>
      <c r="G1295" s="1" t="s">
        <v>0</v>
      </c>
      <c r="H1295" s="1">
        <v>-403.20892333984398</v>
      </c>
    </row>
    <row r="1296" spans="1:8" ht="14.25" customHeight="1" x14ac:dyDescent="0.2">
      <c r="A1296" s="2">
        <v>46295.99255787037</v>
      </c>
      <c r="B1296" s="1">
        <v>-500</v>
      </c>
      <c r="C1296" s="1">
        <v>288.32702636718801</v>
      </c>
      <c r="D1296" s="1">
        <v>62.568206787109403</v>
      </c>
      <c r="E1296" s="2">
        <v>46295.99255787037</v>
      </c>
      <c r="F1296" s="1">
        <v>-500</v>
      </c>
      <c r="G1296" s="1" t="s">
        <v>0</v>
      </c>
      <c r="H1296" s="1">
        <v>-403.18710327148398</v>
      </c>
    </row>
    <row r="1297" spans="1:8" ht="14.25" customHeight="1" x14ac:dyDescent="0.2">
      <c r="A1297" s="2">
        <v>46295.992592592593</v>
      </c>
      <c r="B1297" s="1">
        <v>-450</v>
      </c>
      <c r="C1297" s="1">
        <v>288.44683837890602</v>
      </c>
      <c r="D1297" s="1">
        <v>62.5933837890625</v>
      </c>
      <c r="E1297" s="2">
        <v>46295.992592592593</v>
      </c>
      <c r="F1297" s="1">
        <v>-450</v>
      </c>
      <c r="G1297" s="1" t="s">
        <v>0</v>
      </c>
      <c r="H1297" s="1">
        <v>-403.17520141601602</v>
      </c>
    </row>
    <row r="1298" spans="1:8" ht="14.25" customHeight="1" x14ac:dyDescent="0.2">
      <c r="A1298" s="2">
        <v>46295.992627314816</v>
      </c>
      <c r="B1298" s="1">
        <v>-400</v>
      </c>
      <c r="C1298" s="1">
        <v>288.20867919921898</v>
      </c>
      <c r="D1298" s="1">
        <v>62.5433349609375</v>
      </c>
      <c r="E1298" s="2">
        <v>46295.992627314816</v>
      </c>
      <c r="F1298" s="1">
        <v>-400</v>
      </c>
      <c r="G1298" s="1" t="s">
        <v>0</v>
      </c>
      <c r="H1298" s="1">
        <v>-403.349609375</v>
      </c>
    </row>
    <row r="1299" spans="1:8" ht="14.25" customHeight="1" x14ac:dyDescent="0.2">
      <c r="A1299" s="2">
        <v>46295.992662037039</v>
      </c>
      <c r="B1299" s="1">
        <v>-350</v>
      </c>
      <c r="C1299" s="1">
        <v>287.84271240234398</v>
      </c>
      <c r="D1299" s="1">
        <v>62.4664306640625</v>
      </c>
      <c r="E1299" s="2">
        <v>46295.992662037039</v>
      </c>
      <c r="F1299" s="1">
        <v>-350</v>
      </c>
      <c r="G1299" s="1" t="s">
        <v>0</v>
      </c>
      <c r="H1299" s="1">
        <v>-403.15414428710898</v>
      </c>
    </row>
    <row r="1300" spans="1:8" ht="14.25" customHeight="1" x14ac:dyDescent="0.2">
      <c r="A1300" s="2">
        <v>46295.992696759262</v>
      </c>
      <c r="B1300" s="1">
        <v>-300</v>
      </c>
      <c r="C1300" s="1">
        <v>287.68515014648398</v>
      </c>
      <c r="D1300" s="1">
        <v>62.433319091796903</v>
      </c>
      <c r="E1300" s="2">
        <v>46295.992696759262</v>
      </c>
      <c r="F1300" s="1">
        <v>-300</v>
      </c>
      <c r="G1300" s="1" t="s">
        <v>0</v>
      </c>
      <c r="H1300" s="1">
        <v>-403.15185546875</v>
      </c>
    </row>
    <row r="1301" spans="1:8" ht="14.25" customHeight="1" x14ac:dyDescent="0.2">
      <c r="A1301" s="2">
        <v>46295.992731481485</v>
      </c>
      <c r="B1301" s="1">
        <v>-250</v>
      </c>
      <c r="C1301" s="1">
        <v>287.90225219726602</v>
      </c>
      <c r="D1301" s="1">
        <v>62.4789428710938</v>
      </c>
      <c r="E1301" s="2">
        <v>46295.992731481485</v>
      </c>
      <c r="F1301" s="1">
        <v>-250</v>
      </c>
      <c r="G1301" s="1" t="s">
        <v>0</v>
      </c>
      <c r="H1301" s="1">
        <v>-402.86544799804699</v>
      </c>
    </row>
    <row r="1302" spans="1:8" ht="14.25" customHeight="1" x14ac:dyDescent="0.2">
      <c r="A1302" s="2">
        <v>46295.992766203701</v>
      </c>
      <c r="B1302" s="1">
        <v>-200</v>
      </c>
      <c r="C1302" s="1">
        <v>287.79913330078102</v>
      </c>
      <c r="D1302" s="1">
        <v>62.457275390625</v>
      </c>
      <c r="E1302" s="2">
        <v>46295.992766203701</v>
      </c>
      <c r="F1302" s="1">
        <v>-200</v>
      </c>
      <c r="G1302" s="1" t="s">
        <v>0</v>
      </c>
      <c r="H1302" s="1">
        <v>-402.9248046875</v>
      </c>
    </row>
    <row r="1303" spans="1:8" ht="14.25" customHeight="1" x14ac:dyDescent="0.2">
      <c r="A1303" s="2">
        <v>46295.992800925924</v>
      </c>
      <c r="B1303" s="1">
        <v>-150</v>
      </c>
      <c r="C1303" s="1">
        <v>288.481689453125</v>
      </c>
      <c r="D1303" s="1">
        <v>62.6007080078125</v>
      </c>
      <c r="E1303" s="2">
        <v>46295.992800925924</v>
      </c>
      <c r="F1303" s="1">
        <v>-150</v>
      </c>
      <c r="G1303" s="1" t="s">
        <v>0</v>
      </c>
      <c r="H1303" s="1">
        <v>-403.32687377929699</v>
      </c>
    </row>
    <row r="1304" spans="1:8" ht="14.25" customHeight="1" x14ac:dyDescent="0.2">
      <c r="A1304" s="2">
        <v>46295.992835648147</v>
      </c>
      <c r="B1304" s="1">
        <v>-100</v>
      </c>
      <c r="C1304" s="1">
        <v>287.31771850585898</v>
      </c>
      <c r="D1304" s="1">
        <v>62.356109619140597</v>
      </c>
      <c r="E1304" s="2">
        <v>46295.992835648147</v>
      </c>
      <c r="F1304" s="1">
        <v>-100</v>
      </c>
      <c r="G1304" s="1" t="s">
        <v>0</v>
      </c>
      <c r="H1304" s="1">
        <v>-402.72659301757801</v>
      </c>
    </row>
    <row r="1305" spans="1:8" ht="14.25" customHeight="1" x14ac:dyDescent="0.2">
      <c r="A1305" s="2">
        <v>46295.99287037037</v>
      </c>
      <c r="B1305" s="1">
        <v>-50</v>
      </c>
      <c r="C1305" s="1">
        <v>287.30972290039102</v>
      </c>
      <c r="D1305" s="1">
        <v>62.3544311523438</v>
      </c>
      <c r="E1305" s="2">
        <v>46295.99287037037</v>
      </c>
      <c r="F1305" s="1">
        <v>-50</v>
      </c>
      <c r="G1305" s="1" t="s">
        <v>0</v>
      </c>
      <c r="H1305" s="1">
        <v>-402.99331665039102</v>
      </c>
    </row>
    <row r="1306" spans="1:8" ht="14.25" customHeight="1" x14ac:dyDescent="0.2">
      <c r="A1306" s="2">
        <v>46295.992905092593</v>
      </c>
      <c r="B1306" s="1">
        <v>0</v>
      </c>
      <c r="C1306" s="1">
        <v>287.76718139648398</v>
      </c>
      <c r="D1306" s="1">
        <v>62.4505615234375</v>
      </c>
      <c r="E1306" s="2">
        <v>46295.992905092593</v>
      </c>
      <c r="F1306" s="1">
        <v>0</v>
      </c>
      <c r="G1306" s="1" t="s">
        <v>0</v>
      </c>
      <c r="H1306" s="1">
        <v>-402.80029296875</v>
      </c>
    </row>
    <row r="1307" spans="1:8" ht="14.25" customHeight="1" x14ac:dyDescent="0.2">
      <c r="A1307" s="2">
        <v>46295.992939814816</v>
      </c>
      <c r="B1307" s="1">
        <v>50</v>
      </c>
      <c r="C1307" s="1">
        <v>285.51040649414102</v>
      </c>
      <c r="D1307" s="1">
        <v>61.976318359375</v>
      </c>
      <c r="E1307" s="2">
        <v>46295.992939814816</v>
      </c>
      <c r="F1307" s="1">
        <v>50</v>
      </c>
      <c r="G1307" s="1" t="s">
        <v>0</v>
      </c>
      <c r="H1307" s="1">
        <v>-402.99118041992199</v>
      </c>
    </row>
    <row r="1308" spans="1:8" ht="14.25" customHeight="1" x14ac:dyDescent="0.2">
      <c r="A1308" s="2">
        <v>46295.992974537039</v>
      </c>
      <c r="B1308" s="1">
        <v>100</v>
      </c>
      <c r="C1308" s="1">
        <v>285.21127319335898</v>
      </c>
      <c r="D1308" s="1">
        <v>61.9134521484375</v>
      </c>
      <c r="E1308" s="2">
        <v>46295.992974537039</v>
      </c>
      <c r="F1308" s="1">
        <v>100</v>
      </c>
      <c r="G1308" s="1" t="s">
        <v>0</v>
      </c>
      <c r="H1308" s="1">
        <v>-403.5205078125</v>
      </c>
    </row>
    <row r="1309" spans="1:8" ht="14.25" customHeight="1" x14ac:dyDescent="0.2">
      <c r="A1309" s="2">
        <v>46295.993009259262</v>
      </c>
      <c r="B1309" s="1">
        <v>150</v>
      </c>
      <c r="C1309" s="1">
        <v>280.19088745117199</v>
      </c>
      <c r="D1309" s="1">
        <v>60.8584594726563</v>
      </c>
      <c r="E1309" s="2">
        <v>46295.993009259262</v>
      </c>
      <c r="F1309" s="1">
        <v>150</v>
      </c>
      <c r="G1309" s="1" t="s">
        <v>0</v>
      </c>
      <c r="H1309" s="1">
        <v>-403.32229614257801</v>
      </c>
    </row>
    <row r="1310" spans="1:8" ht="14.25" customHeight="1" x14ac:dyDescent="0.2">
      <c r="A1310" s="2">
        <v>46295.993043981478</v>
      </c>
      <c r="B1310" s="1">
        <v>200</v>
      </c>
      <c r="C1310" s="1">
        <v>272.57757568359398</v>
      </c>
      <c r="D1310" s="1">
        <v>59.258575439453097</v>
      </c>
      <c r="E1310" s="2">
        <v>46295.993043981478</v>
      </c>
      <c r="F1310" s="1">
        <v>200</v>
      </c>
      <c r="G1310" s="1" t="s">
        <v>0</v>
      </c>
      <c r="H1310" s="1">
        <v>-403.34686279296898</v>
      </c>
    </row>
    <row r="1311" spans="1:8" ht="14.25" customHeight="1" x14ac:dyDescent="0.2">
      <c r="A1311" s="2">
        <v>46295.993078703701</v>
      </c>
      <c r="B1311" s="1">
        <v>250</v>
      </c>
      <c r="C1311" s="1">
        <v>263.80975341796898</v>
      </c>
      <c r="D1311" s="1">
        <v>57.4160766601563</v>
      </c>
      <c r="E1311" s="2">
        <v>46295.993078703701</v>
      </c>
      <c r="F1311" s="1">
        <v>250</v>
      </c>
      <c r="G1311" s="1" t="s">
        <v>0</v>
      </c>
      <c r="H1311" s="1">
        <v>-403.27133178710898</v>
      </c>
    </row>
    <row r="1312" spans="1:8" ht="14.25" customHeight="1" x14ac:dyDescent="0.2">
      <c r="A1312" s="2">
        <v>46295.993113425924</v>
      </c>
      <c r="B1312" s="1">
        <v>300</v>
      </c>
      <c r="C1312" s="1">
        <v>256.37069702148398</v>
      </c>
      <c r="D1312" s="1">
        <v>55.852813720703097</v>
      </c>
      <c r="E1312" s="2">
        <v>46295.993113425924</v>
      </c>
      <c r="F1312" s="1">
        <v>300</v>
      </c>
      <c r="G1312" s="1" t="s">
        <v>0</v>
      </c>
      <c r="H1312" s="1">
        <v>-403.20953369140602</v>
      </c>
    </row>
    <row r="1313" spans="1:8" ht="14.25" customHeight="1" x14ac:dyDescent="0.2">
      <c r="A1313" s="2">
        <v>46295.993148148147</v>
      </c>
      <c r="B1313" s="1">
        <v>350</v>
      </c>
      <c r="C1313" s="1">
        <v>244.55825805664099</v>
      </c>
      <c r="D1313" s="1">
        <v>53.370513916015597</v>
      </c>
      <c r="E1313" s="2">
        <v>46295.993148148147</v>
      </c>
      <c r="F1313" s="1">
        <v>350</v>
      </c>
      <c r="G1313" s="1" t="s">
        <v>0</v>
      </c>
      <c r="H1313" s="1">
        <v>-403.16558837890602</v>
      </c>
    </row>
    <row r="1314" spans="1:8" ht="14.25" customHeight="1" x14ac:dyDescent="0.2">
      <c r="A1314" s="2">
        <v>46295.99318287037</v>
      </c>
      <c r="B1314" s="1">
        <v>400</v>
      </c>
      <c r="C1314" s="1">
        <v>234.73536682128901</v>
      </c>
      <c r="D1314" s="1">
        <v>51.306304931640597</v>
      </c>
      <c r="E1314" s="2">
        <v>46295.99318287037</v>
      </c>
      <c r="F1314" s="1">
        <v>400</v>
      </c>
      <c r="G1314" s="1" t="s">
        <v>0</v>
      </c>
      <c r="H1314" s="1">
        <v>-403.30947875976602</v>
      </c>
    </row>
    <row r="1315" spans="1:8" ht="14.25" customHeight="1" x14ac:dyDescent="0.2">
      <c r="A1315" s="2">
        <v>46295.993217592593</v>
      </c>
      <c r="B1315" s="1">
        <v>450</v>
      </c>
      <c r="C1315" s="1">
        <v>227.07557678222699</v>
      </c>
      <c r="D1315" s="1">
        <v>49.6966552734375</v>
      </c>
      <c r="E1315" s="2">
        <v>46295.993217592593</v>
      </c>
      <c r="F1315" s="1">
        <v>450</v>
      </c>
      <c r="G1315" s="1" t="s">
        <v>0</v>
      </c>
      <c r="H1315" s="1">
        <v>-403.4912109375</v>
      </c>
    </row>
    <row r="1316" spans="1:8" ht="14.25" customHeight="1" x14ac:dyDescent="0.2">
      <c r="A1316" s="2">
        <v>46295.993252314816</v>
      </c>
      <c r="B1316" s="1">
        <v>500</v>
      </c>
      <c r="C1316" s="1">
        <v>216.52076721191401</v>
      </c>
      <c r="D1316" s="1">
        <v>47.4786376953125</v>
      </c>
      <c r="E1316" s="2">
        <v>46295.993252314816</v>
      </c>
      <c r="F1316" s="1">
        <v>500</v>
      </c>
      <c r="G1316" s="1" t="s">
        <v>0</v>
      </c>
      <c r="H1316" s="1">
        <v>-403.38043212890602</v>
      </c>
    </row>
    <row r="1317" spans="1:8" ht="14.25" customHeight="1" x14ac:dyDescent="0.2">
      <c r="A1317" s="2">
        <v>46295.993287037039</v>
      </c>
      <c r="B1317" s="1">
        <v>550</v>
      </c>
      <c r="C1317" s="1">
        <v>208.36431884765599</v>
      </c>
      <c r="D1317" s="1">
        <v>45.764617919921903</v>
      </c>
      <c r="E1317" s="2">
        <v>46295.993287037039</v>
      </c>
      <c r="F1317" s="1">
        <v>550</v>
      </c>
      <c r="G1317" s="1" t="s">
        <v>0</v>
      </c>
      <c r="H1317" s="1">
        <v>-403.02200317382801</v>
      </c>
    </row>
    <row r="1318" spans="1:8" ht="14.25" customHeight="1" x14ac:dyDescent="0.2">
      <c r="A1318" s="2">
        <v>46295.993321759262</v>
      </c>
      <c r="B1318" s="1">
        <v>600</v>
      </c>
      <c r="C1318" s="1">
        <v>199.83609008789099</v>
      </c>
      <c r="D1318" s="1">
        <v>43.9724731445313</v>
      </c>
      <c r="E1318" s="2">
        <v>46295.993321759262</v>
      </c>
      <c r="F1318" s="1">
        <v>600</v>
      </c>
      <c r="G1318" s="1" t="s">
        <v>0</v>
      </c>
      <c r="H1318" s="1">
        <v>-403.47885131835898</v>
      </c>
    </row>
    <row r="1319" spans="1:8" ht="14.25" customHeight="1" x14ac:dyDescent="0.2">
      <c r="A1319" s="2">
        <v>46295.993356481478</v>
      </c>
      <c r="B1319" s="1">
        <v>650</v>
      </c>
      <c r="C1319" s="1">
        <v>190.333419799805</v>
      </c>
      <c r="D1319" s="1">
        <v>41.975555419921903</v>
      </c>
      <c r="E1319" s="2">
        <v>46295.993356481478</v>
      </c>
      <c r="F1319" s="1">
        <v>650</v>
      </c>
      <c r="G1319" s="1" t="s">
        <v>0</v>
      </c>
      <c r="H1319" s="1">
        <v>-404.37408447265602</v>
      </c>
    </row>
    <row r="1320" spans="1:8" ht="14.25" customHeight="1" x14ac:dyDescent="0.2">
      <c r="A1320" s="2">
        <v>46295.993391203701</v>
      </c>
      <c r="B1320" s="1">
        <v>700</v>
      </c>
      <c r="C1320" s="1">
        <v>182.91615295410199</v>
      </c>
      <c r="D1320" s="1">
        <v>40.4168701171875</v>
      </c>
      <c r="E1320" s="2">
        <v>46295.993391203701</v>
      </c>
      <c r="F1320" s="1">
        <v>700</v>
      </c>
      <c r="G1320" s="1" t="s">
        <v>0</v>
      </c>
      <c r="H1320" s="1">
        <v>-402.90252685546898</v>
      </c>
    </row>
    <row r="1321" spans="1:8" ht="14.25" customHeight="1" x14ac:dyDescent="0.2">
      <c r="A1321" s="2">
        <v>46295.993425925924</v>
      </c>
      <c r="B1321" s="1">
        <v>750</v>
      </c>
      <c r="C1321" s="1">
        <v>174.19624328613301</v>
      </c>
      <c r="D1321" s="1">
        <v>38.584442138671903</v>
      </c>
      <c r="E1321" s="2">
        <v>46295.993425925924</v>
      </c>
      <c r="F1321" s="1">
        <v>750</v>
      </c>
      <c r="G1321" s="1" t="s">
        <v>0</v>
      </c>
      <c r="H1321" s="1">
        <v>-410.72021484375</v>
      </c>
    </row>
    <row r="1322" spans="1:8" ht="14.25" customHeight="1" x14ac:dyDescent="0.2">
      <c r="A1322" s="2">
        <v>46295.993460648147</v>
      </c>
      <c r="B1322" s="1">
        <v>800</v>
      </c>
      <c r="C1322" s="1">
        <v>168.00102233886699</v>
      </c>
      <c r="D1322" s="1">
        <v>37.282562255859403</v>
      </c>
      <c r="E1322" s="2">
        <v>46295.993460648147</v>
      </c>
      <c r="F1322" s="1">
        <v>800</v>
      </c>
      <c r="G1322" s="1" t="s">
        <v>0</v>
      </c>
      <c r="H1322" s="1">
        <v>-405.35293579101602</v>
      </c>
    </row>
    <row r="1323" spans="1:8" ht="14.25" customHeight="1" x14ac:dyDescent="0.2">
      <c r="A1323" s="2">
        <v>46295.993495370371</v>
      </c>
      <c r="B1323" s="1">
        <v>850</v>
      </c>
      <c r="C1323" s="1">
        <v>160.21707153320301</v>
      </c>
      <c r="D1323" s="1">
        <v>35.646820068359403</v>
      </c>
      <c r="E1323" s="2">
        <v>46295.993495370371</v>
      </c>
      <c r="F1323" s="1">
        <v>850</v>
      </c>
      <c r="G1323" s="1" t="s">
        <v>0</v>
      </c>
      <c r="H1323" s="1">
        <v>-403.30947875976602</v>
      </c>
    </row>
    <row r="1324" spans="1:8" ht="14.25" customHeight="1" x14ac:dyDescent="0.2">
      <c r="A1324" s="2">
        <v>46295.993530092594</v>
      </c>
      <c r="B1324" s="1">
        <v>900</v>
      </c>
      <c r="C1324" s="1">
        <v>155.65344238281301</v>
      </c>
      <c r="D1324" s="1">
        <v>34.6878051757813</v>
      </c>
      <c r="E1324" s="2">
        <v>46295.993530092594</v>
      </c>
      <c r="F1324" s="1">
        <v>900</v>
      </c>
      <c r="G1324" s="1" t="s">
        <v>0</v>
      </c>
      <c r="H1324" s="1">
        <v>-403.07037353515602</v>
      </c>
    </row>
    <row r="1325" spans="1:8" ht="14.25" customHeight="1" x14ac:dyDescent="0.2">
      <c r="A1325" s="2">
        <v>46295.993564814817</v>
      </c>
      <c r="B1325" s="1">
        <v>950</v>
      </c>
      <c r="C1325" s="1">
        <v>146.48550415039099</v>
      </c>
      <c r="D1325" s="1">
        <v>32.76123046875</v>
      </c>
      <c r="E1325" s="2">
        <v>46295.993564814817</v>
      </c>
      <c r="F1325" s="1">
        <v>950</v>
      </c>
      <c r="G1325" s="1" t="s">
        <v>0</v>
      </c>
      <c r="H1325" s="1">
        <v>-403.23257446289102</v>
      </c>
    </row>
    <row r="1326" spans="1:8" ht="14.25" customHeight="1" x14ac:dyDescent="0.2">
      <c r="A1326" s="2">
        <v>46295.99359953704</v>
      </c>
      <c r="B1326" s="1">
        <v>1000</v>
      </c>
      <c r="C1326" s="1">
        <v>139.88003540039099</v>
      </c>
      <c r="D1326" s="1">
        <v>31.3731384277344</v>
      </c>
      <c r="E1326" s="2">
        <v>46295.99359953704</v>
      </c>
      <c r="F1326" s="1">
        <v>1000</v>
      </c>
      <c r="G1326" s="1" t="s">
        <v>0</v>
      </c>
      <c r="H1326" s="1">
        <v>-403.33663940429699</v>
      </c>
    </row>
    <row r="1327" spans="1:8" ht="14.25" customHeight="1" x14ac:dyDescent="0.2">
      <c r="A1327" s="2">
        <v>46295.993634259263</v>
      </c>
      <c r="B1327" s="1">
        <v>1050</v>
      </c>
      <c r="C1327" s="1">
        <v>132.34150695800801</v>
      </c>
      <c r="D1327" s="1">
        <v>29.7889709472656</v>
      </c>
      <c r="E1327" s="2">
        <v>46295.993634259263</v>
      </c>
      <c r="F1327" s="1">
        <v>1050</v>
      </c>
      <c r="G1327" s="1" t="s">
        <v>0</v>
      </c>
      <c r="H1327" s="1">
        <v>-403.42864990234398</v>
      </c>
    </row>
    <row r="1328" spans="1:8" ht="14.25" customHeight="1" x14ac:dyDescent="0.2">
      <c r="A1328" s="2">
        <v>46295.993668981479</v>
      </c>
      <c r="B1328" s="1">
        <v>1100</v>
      </c>
      <c r="C1328" s="1">
        <v>124.48712158203099</v>
      </c>
      <c r="D1328" s="1">
        <v>28.138427734375</v>
      </c>
      <c r="E1328" s="2">
        <v>46295.993668981479</v>
      </c>
      <c r="F1328" s="1">
        <v>1100</v>
      </c>
      <c r="G1328" s="1" t="s">
        <v>0</v>
      </c>
      <c r="H1328" s="1">
        <v>-403.4423828125</v>
      </c>
    </row>
    <row r="1329" spans="1:8" ht="14.25" customHeight="1" x14ac:dyDescent="0.2">
      <c r="A1329" s="2">
        <v>46295.993703703702</v>
      </c>
      <c r="B1329" s="1">
        <v>1150</v>
      </c>
      <c r="C1329" s="1">
        <v>118.58453369140599</v>
      </c>
      <c r="D1329" s="1">
        <v>26.8980407714844</v>
      </c>
      <c r="E1329" s="2">
        <v>46295.993703703702</v>
      </c>
      <c r="F1329" s="1">
        <v>1150</v>
      </c>
      <c r="G1329" s="1" t="s">
        <v>0</v>
      </c>
      <c r="H1329" s="1">
        <v>-403.42590332031301</v>
      </c>
    </row>
    <row r="1330" spans="1:8" ht="14.25" customHeight="1" x14ac:dyDescent="0.2">
      <c r="A1330" s="2">
        <v>46295.993738425925</v>
      </c>
      <c r="B1330" s="1">
        <v>1200</v>
      </c>
      <c r="C1330" s="1">
        <v>111.708221435547</v>
      </c>
      <c r="D1330" s="1">
        <v>25.4530334472656</v>
      </c>
      <c r="E1330" s="2">
        <v>46295.993738425925</v>
      </c>
      <c r="F1330" s="1">
        <v>1200</v>
      </c>
      <c r="G1330" s="1" t="s">
        <v>0</v>
      </c>
      <c r="H1330" s="1">
        <v>-404.07028198242199</v>
      </c>
    </row>
    <row r="1331" spans="1:8" ht="14.25" customHeight="1" x14ac:dyDescent="0.2">
      <c r="A1331" s="2">
        <v>46295.993773148148</v>
      </c>
      <c r="B1331" s="1">
        <v>1250</v>
      </c>
      <c r="C1331" s="1">
        <v>113.64694976806599</v>
      </c>
      <c r="D1331" s="1">
        <v>25.8604431152344</v>
      </c>
      <c r="E1331" s="2">
        <v>46295.993773148148</v>
      </c>
      <c r="F1331" s="1">
        <v>1250</v>
      </c>
      <c r="G1331" s="1" t="s">
        <v>0</v>
      </c>
      <c r="H1331" s="1">
        <v>-403.39874267578102</v>
      </c>
    </row>
    <row r="1332" spans="1:8" ht="14.25" customHeight="1" x14ac:dyDescent="0.2">
      <c r="A1332" s="2">
        <v>46295.993807870371</v>
      </c>
      <c r="B1332" s="1">
        <v>1300</v>
      </c>
      <c r="C1332" s="1">
        <v>109.431121826172</v>
      </c>
      <c r="D1332" s="1">
        <v>24.9745178222656</v>
      </c>
      <c r="E1332" s="2">
        <v>46295.993807870371</v>
      </c>
      <c r="F1332" s="1">
        <v>1300</v>
      </c>
      <c r="G1332" s="1" t="s">
        <v>0</v>
      </c>
      <c r="H1332" s="1">
        <v>-403.21929931640602</v>
      </c>
    </row>
    <row r="1333" spans="1:8" ht="14.25" customHeight="1" x14ac:dyDescent="0.2">
      <c r="A1333" s="2">
        <v>46295.993842592594</v>
      </c>
      <c r="B1333" s="1">
        <v>1350</v>
      </c>
      <c r="C1333" s="1">
        <v>92.403724670410199</v>
      </c>
      <c r="D1333" s="1">
        <v>21.3963317871094</v>
      </c>
      <c r="E1333" s="2">
        <v>46295.993842592594</v>
      </c>
      <c r="F1333" s="1">
        <v>1350</v>
      </c>
      <c r="G1333" s="1" t="s">
        <v>0</v>
      </c>
      <c r="H1333" s="1">
        <v>-403.19976806640602</v>
      </c>
    </row>
    <row r="1334" spans="1:8" ht="14.25" customHeight="1" x14ac:dyDescent="0.2">
      <c r="A1334" s="2">
        <v>46295.993877314817</v>
      </c>
      <c r="B1334" s="1">
        <v>1400</v>
      </c>
      <c r="C1334" s="1">
        <v>88.916915893554702</v>
      </c>
      <c r="D1334" s="1">
        <v>20.6636047363281</v>
      </c>
      <c r="E1334" s="2">
        <v>46295.993877314817</v>
      </c>
      <c r="F1334" s="1">
        <v>1400</v>
      </c>
      <c r="G1334" s="1" t="s">
        <v>0</v>
      </c>
      <c r="H1334" s="1">
        <v>-403.57009887695301</v>
      </c>
    </row>
    <row r="1335" spans="1:8" ht="14.25" customHeight="1" x14ac:dyDescent="0.2">
      <c r="A1335" s="2">
        <v>46295.99391203704</v>
      </c>
      <c r="B1335" s="1">
        <v>1450</v>
      </c>
      <c r="C1335" s="1">
        <v>78.098526000976605</v>
      </c>
      <c r="D1335" s="1">
        <v>18.3901977539063</v>
      </c>
      <c r="E1335" s="2">
        <v>46295.99391203704</v>
      </c>
      <c r="F1335" s="1">
        <v>1450</v>
      </c>
      <c r="G1335" s="1" t="s">
        <v>0</v>
      </c>
      <c r="H1335" s="1">
        <v>-403.66409301757801</v>
      </c>
    </row>
    <row r="1336" spans="1:8" ht="14.25" customHeight="1" x14ac:dyDescent="0.2">
      <c r="A1336" s="2">
        <v>46295.993946759256</v>
      </c>
      <c r="B1336" s="1">
        <v>1500</v>
      </c>
      <c r="C1336" s="1">
        <v>71.654983520507798</v>
      </c>
      <c r="D1336" s="1">
        <v>17.0361328125</v>
      </c>
      <c r="E1336" s="2">
        <v>46295.993946759256</v>
      </c>
      <c r="F1336" s="1">
        <v>1500</v>
      </c>
      <c r="G1336" s="1" t="s">
        <v>0</v>
      </c>
      <c r="H1336" s="1">
        <v>-403.60458374023398</v>
      </c>
    </row>
    <row r="1337" spans="1:8" ht="14.25" customHeight="1" x14ac:dyDescent="0.2">
      <c r="A1337" s="2">
        <v>46295.993981481479</v>
      </c>
      <c r="B1337" s="1">
        <v>1550</v>
      </c>
      <c r="C1337" s="1">
        <v>65.178756713867202</v>
      </c>
      <c r="D1337" s="1">
        <v>15.6752014160156</v>
      </c>
      <c r="E1337" s="2">
        <v>46295.993981481479</v>
      </c>
      <c r="F1337" s="1">
        <v>1550</v>
      </c>
      <c r="G1337" s="1" t="s">
        <v>0</v>
      </c>
      <c r="H1337" s="1">
        <v>-403.47381591796898</v>
      </c>
    </row>
    <row r="1338" spans="1:8" ht="14.25" customHeight="1" x14ac:dyDescent="0.2">
      <c r="A1338" s="2">
        <v>46295.994027777779</v>
      </c>
      <c r="B1338" s="1">
        <v>1600</v>
      </c>
      <c r="C1338" s="1">
        <v>55.042190551757798</v>
      </c>
      <c r="D1338" s="1">
        <v>13.5450744628906</v>
      </c>
      <c r="E1338" s="2">
        <v>46295.994027777779</v>
      </c>
      <c r="F1338" s="1">
        <v>1600</v>
      </c>
      <c r="G1338" s="1" t="s">
        <v>0</v>
      </c>
      <c r="H1338" s="1">
        <v>-404.72320556640602</v>
      </c>
    </row>
    <row r="1339" spans="1:8" ht="14.25" customHeight="1" x14ac:dyDescent="0.2">
      <c r="A1339" s="2">
        <v>46295.994062500002</v>
      </c>
      <c r="B1339" s="1">
        <v>1650</v>
      </c>
      <c r="C1339" s="1">
        <v>48.118682861328097</v>
      </c>
      <c r="D1339" s="1">
        <v>12.0901489257813</v>
      </c>
      <c r="E1339" s="2">
        <v>46295.994062500002</v>
      </c>
      <c r="F1339" s="1">
        <v>1650</v>
      </c>
      <c r="G1339" s="1" t="s">
        <v>0</v>
      </c>
      <c r="H1339" s="1">
        <v>-403.82873535156301</v>
      </c>
    </row>
    <row r="1340" spans="1:8" ht="14.25" customHeight="1" x14ac:dyDescent="0.2">
      <c r="A1340" s="2">
        <v>46295.994097222225</v>
      </c>
      <c r="B1340" s="1">
        <v>1700</v>
      </c>
      <c r="C1340" s="1">
        <v>40.359416961669901</v>
      </c>
      <c r="D1340" s="1">
        <v>10.4595947265625</v>
      </c>
      <c r="E1340" s="2">
        <v>46295.994097222225</v>
      </c>
      <c r="F1340" s="1">
        <v>1700</v>
      </c>
      <c r="G1340" s="1" t="s">
        <v>0</v>
      </c>
      <c r="H1340" s="1">
        <v>-403.73016357421898</v>
      </c>
    </row>
    <row r="1341" spans="1:8" ht="14.25" customHeight="1" x14ac:dyDescent="0.2">
      <c r="A1341" s="2">
        <v>46295.994131944448</v>
      </c>
      <c r="B1341" s="1">
        <v>1750</v>
      </c>
      <c r="C1341" s="1">
        <v>34.444484710693402</v>
      </c>
      <c r="D1341" s="1">
        <v>9.21661376953125</v>
      </c>
      <c r="E1341" s="2">
        <v>46295.994131944448</v>
      </c>
      <c r="F1341" s="1">
        <v>1750</v>
      </c>
      <c r="G1341" s="1" t="s">
        <v>0</v>
      </c>
      <c r="H1341" s="1">
        <v>-403.43826293945301</v>
      </c>
    </row>
    <row r="1342" spans="1:8" ht="14.25" customHeight="1" x14ac:dyDescent="0.2">
      <c r="A1342" s="2">
        <v>46295.994166666664</v>
      </c>
      <c r="B1342" s="1">
        <v>1800</v>
      </c>
      <c r="C1342" s="1">
        <v>29.5272312164307</v>
      </c>
      <c r="D1342" s="1">
        <v>8.18328857421875</v>
      </c>
      <c r="E1342" s="2">
        <v>46295.994166666664</v>
      </c>
      <c r="F1342" s="1">
        <v>1800</v>
      </c>
      <c r="G1342" s="1" t="s">
        <v>0</v>
      </c>
      <c r="H1342" s="1">
        <v>-403.53363037109398</v>
      </c>
    </row>
    <row r="1343" spans="1:8" ht="14.25" customHeight="1" x14ac:dyDescent="0.2">
      <c r="A1343" s="2">
        <v>46295.994201388887</v>
      </c>
      <c r="B1343" s="1">
        <v>1850</v>
      </c>
      <c r="C1343" s="1">
        <v>25.6868076324463</v>
      </c>
      <c r="D1343" s="1">
        <v>7.3762512207031303</v>
      </c>
      <c r="E1343" s="2">
        <v>46295.994201388887</v>
      </c>
      <c r="F1343" s="1">
        <v>1850</v>
      </c>
      <c r="G1343" s="1" t="s">
        <v>0</v>
      </c>
      <c r="H1343" s="1">
        <v>-403.61404418945301</v>
      </c>
    </row>
    <row r="1344" spans="1:8" ht="14.25" customHeight="1" x14ac:dyDescent="0.2">
      <c r="A1344" s="2">
        <v>46295.99423611111</v>
      </c>
      <c r="B1344" s="1">
        <v>1900</v>
      </c>
      <c r="C1344" s="1">
        <v>21.2829189300537</v>
      </c>
      <c r="D1344" s="1">
        <v>6.4508056640625</v>
      </c>
      <c r="E1344" s="2">
        <v>46295.99423611111</v>
      </c>
      <c r="F1344" s="1">
        <v>1900</v>
      </c>
      <c r="G1344" s="1" t="s">
        <v>0</v>
      </c>
      <c r="H1344" s="1">
        <v>-403.48541259765602</v>
      </c>
    </row>
    <row r="1345" spans="1:8" ht="14.25" customHeight="1" x14ac:dyDescent="0.2">
      <c r="A1345" s="2">
        <v>46295.994270833333</v>
      </c>
      <c r="B1345" s="1">
        <v>1950</v>
      </c>
      <c r="C1345" s="1">
        <v>16.571884155273398</v>
      </c>
      <c r="D1345" s="1">
        <v>5.4608154296875</v>
      </c>
      <c r="E1345" s="2">
        <v>46295.994270833333</v>
      </c>
      <c r="F1345" s="1">
        <v>1950</v>
      </c>
      <c r="G1345" s="1" t="s">
        <v>0</v>
      </c>
      <c r="H1345" s="1">
        <v>-404.910888671875</v>
      </c>
    </row>
    <row r="1346" spans="1:8" ht="14.25" customHeight="1" x14ac:dyDescent="0.2">
      <c r="A1346" s="2">
        <v>46295.994305555556</v>
      </c>
      <c r="B1346" s="1">
        <v>2000</v>
      </c>
      <c r="C1346" s="1">
        <v>12.3437156677246</v>
      </c>
      <c r="D1346" s="1">
        <v>4.5722961425781303</v>
      </c>
      <c r="E1346" s="2">
        <v>46295.994305555556</v>
      </c>
      <c r="F1346" s="1">
        <v>2000</v>
      </c>
      <c r="G1346" s="1" t="s">
        <v>0</v>
      </c>
      <c r="H1346" s="1">
        <v>-404.140625</v>
      </c>
    </row>
    <row r="1347" spans="1:8" ht="14.25" customHeight="1" x14ac:dyDescent="0.2">
      <c r="A1347" s="2">
        <v>46295.994340277779</v>
      </c>
      <c r="B1347" s="1">
        <v>2050</v>
      </c>
      <c r="C1347" s="1">
        <v>8.9418659210205096</v>
      </c>
      <c r="D1347" s="1">
        <v>3.857421875</v>
      </c>
      <c r="E1347" s="2">
        <v>46295.994340277779</v>
      </c>
      <c r="F1347" s="1">
        <v>2050</v>
      </c>
      <c r="G1347" s="1" t="s">
        <v>0</v>
      </c>
      <c r="H1347" s="1">
        <v>-404.01992797851602</v>
      </c>
    </row>
    <row r="1348" spans="1:8" ht="14.25" customHeight="1" x14ac:dyDescent="0.2">
      <c r="A1348" s="2">
        <v>46295.994375000002</v>
      </c>
      <c r="B1348" s="1">
        <v>2100</v>
      </c>
      <c r="C1348" s="1">
        <v>6.7446417808532697</v>
      </c>
      <c r="D1348" s="1">
        <v>3.39569091796875</v>
      </c>
      <c r="E1348" s="2">
        <v>46295.994375000002</v>
      </c>
      <c r="F1348" s="1">
        <v>2100</v>
      </c>
      <c r="G1348" s="1" t="s">
        <v>0</v>
      </c>
      <c r="H1348" s="1">
        <v>-403.83132934570301</v>
      </c>
    </row>
    <row r="1349" spans="1:8" ht="14.25" customHeight="1" x14ac:dyDescent="0.2">
      <c r="A1349" s="2">
        <v>46295.994409722225</v>
      </c>
      <c r="B1349" s="1">
        <v>2150</v>
      </c>
      <c r="C1349" s="1">
        <v>4.5387039184570304</v>
      </c>
      <c r="D1349" s="1">
        <v>2.93212890625</v>
      </c>
      <c r="E1349" s="2">
        <v>46295.994409722225</v>
      </c>
      <c r="F1349" s="1">
        <v>2150</v>
      </c>
      <c r="G1349" s="1" t="s">
        <v>0</v>
      </c>
      <c r="H1349" s="1">
        <v>-403.82904052734398</v>
      </c>
    </row>
    <row r="1350" spans="1:8" ht="14.25" customHeight="1" x14ac:dyDescent="0.2">
      <c r="A1350" s="2">
        <v>46295.994444444441</v>
      </c>
      <c r="B1350" s="1">
        <v>2200</v>
      </c>
      <c r="C1350" s="1">
        <v>2.7481036186218302</v>
      </c>
      <c r="D1350" s="1">
        <v>2.55584716796875</v>
      </c>
      <c r="E1350" s="2">
        <v>46295.994444444441</v>
      </c>
      <c r="F1350" s="1">
        <v>2200</v>
      </c>
      <c r="G1350" s="1" t="s">
        <v>0</v>
      </c>
      <c r="H1350" s="1">
        <v>-403.80081176757801</v>
      </c>
    </row>
    <row r="1351" spans="1:8" ht="14.25" customHeight="1" x14ac:dyDescent="0.2">
      <c r="A1351" s="2">
        <v>46295.994479166664</v>
      </c>
      <c r="B1351" s="1">
        <v>2250</v>
      </c>
      <c r="C1351" s="1">
        <v>1.31983518600464</v>
      </c>
      <c r="D1351" s="1">
        <v>2.2557067871093799</v>
      </c>
      <c r="E1351" s="2">
        <v>46295.994479166664</v>
      </c>
      <c r="F1351" s="1">
        <v>2250</v>
      </c>
      <c r="G1351" s="1" t="s">
        <v>0</v>
      </c>
      <c r="H1351" s="1">
        <v>-403.78402709960898</v>
      </c>
    </row>
    <row r="1352" spans="1:8" ht="14.25" customHeight="1" x14ac:dyDescent="0.2">
      <c r="A1352" s="2">
        <v>46295.994513888887</v>
      </c>
      <c r="B1352" s="1">
        <v>2300</v>
      </c>
      <c r="C1352" s="1">
        <v>0.48770716786384599</v>
      </c>
      <c r="D1352" s="1">
        <v>2.0808410644531299</v>
      </c>
      <c r="E1352" s="2">
        <v>46295.994513888887</v>
      </c>
      <c r="F1352" s="1">
        <v>2300</v>
      </c>
      <c r="G1352" s="1" t="s">
        <v>0</v>
      </c>
      <c r="H1352" s="1">
        <v>-403.80661010742199</v>
      </c>
    </row>
    <row r="1353" spans="1:8" ht="14.25" customHeight="1" x14ac:dyDescent="0.2">
      <c r="A1353" s="2">
        <v>46295.99454861111</v>
      </c>
      <c r="B1353" s="1">
        <v>2350</v>
      </c>
      <c r="C1353" s="1">
        <v>8.7617710232734694E-2</v>
      </c>
      <c r="D1353" s="1">
        <v>1.99676513671875</v>
      </c>
      <c r="E1353" s="2">
        <v>46295.99454861111</v>
      </c>
      <c r="F1353" s="1">
        <v>2350</v>
      </c>
      <c r="G1353" s="1" t="s">
        <v>0</v>
      </c>
      <c r="H1353" s="1">
        <v>-402.90954589843801</v>
      </c>
    </row>
    <row r="1354" spans="1:8" ht="14.25" customHeight="1" x14ac:dyDescent="0.2">
      <c r="A1354" s="2">
        <v>46295.994583333333</v>
      </c>
      <c r="B1354" s="1">
        <v>2400</v>
      </c>
      <c r="C1354" s="1">
        <v>-8.3745472133159596E-2</v>
      </c>
      <c r="D1354" s="1">
        <v>1.96075439453125</v>
      </c>
      <c r="E1354" s="2">
        <v>46295.994583333333</v>
      </c>
      <c r="F1354" s="1">
        <v>2400</v>
      </c>
      <c r="G1354" s="1" t="s">
        <v>0</v>
      </c>
      <c r="H1354" s="1">
        <v>-403.72299194335898</v>
      </c>
    </row>
    <row r="1355" spans="1:8" ht="14.25" customHeight="1" x14ac:dyDescent="0.2">
      <c r="A1355" s="2">
        <v>46295.994618055556</v>
      </c>
      <c r="B1355" s="1">
        <v>2450</v>
      </c>
      <c r="C1355" s="1">
        <v>-0.21589843928813901</v>
      </c>
      <c r="D1355" s="1">
        <v>1.9329833984375</v>
      </c>
      <c r="E1355" s="2">
        <v>46295.994618055556</v>
      </c>
      <c r="F1355" s="1">
        <v>2450</v>
      </c>
      <c r="G1355" s="1" t="s">
        <v>0</v>
      </c>
      <c r="H1355" s="1">
        <v>-403.66867065429699</v>
      </c>
    </row>
    <row r="1356" spans="1:8" ht="14.25" customHeight="1" x14ac:dyDescent="0.2">
      <c r="A1356" s="2">
        <v>46295.994652777779</v>
      </c>
      <c r="B1356" s="1">
        <v>2500</v>
      </c>
      <c r="C1356" s="1">
        <v>-0.23405131697654699</v>
      </c>
      <c r="D1356" s="1">
        <v>1.9291687011718801</v>
      </c>
      <c r="E1356" s="2">
        <v>46295.994652777779</v>
      </c>
      <c r="F1356" s="1">
        <v>2500</v>
      </c>
      <c r="G1356" s="1" t="s">
        <v>0</v>
      </c>
      <c r="H1356" s="1">
        <v>-403.69308471679699</v>
      </c>
    </row>
    <row r="1357" spans="1:8" ht="14.25" customHeight="1" x14ac:dyDescent="0.2">
      <c r="A1357" s="1"/>
      <c r="B1357" s="1"/>
      <c r="C1357" s="1"/>
      <c r="D1357" s="1"/>
      <c r="E1357" s="1"/>
      <c r="F1357" s="1"/>
      <c r="G1357" s="1"/>
      <c r="H1357" s="1"/>
    </row>
    <row r="1358" spans="1:8" ht="14.25" customHeight="1" x14ac:dyDescent="0.2">
      <c r="A1358" s="2">
        <v>46296.006678240738</v>
      </c>
      <c r="B1358" s="1">
        <v>-1500</v>
      </c>
      <c r="C1358" s="1">
        <v>274.93600463867199</v>
      </c>
      <c r="D1358" s="1">
        <v>59.754180908203097</v>
      </c>
      <c r="E1358" s="2">
        <v>46296.006678240738</v>
      </c>
      <c r="F1358" s="1">
        <v>-1500</v>
      </c>
      <c r="G1358" s="1" t="s">
        <v>0</v>
      </c>
      <c r="H1358" s="1">
        <v>-406.24374389648398</v>
      </c>
    </row>
    <row r="1359" spans="1:8" ht="14.25" customHeight="1" x14ac:dyDescent="0.2">
      <c r="A1359" s="2">
        <v>46296.006712962961</v>
      </c>
      <c r="B1359" s="1">
        <v>-1450</v>
      </c>
      <c r="C1359" s="1">
        <v>279.150390625</v>
      </c>
      <c r="D1359" s="1">
        <v>60.639801025390597</v>
      </c>
      <c r="E1359" s="2">
        <v>46296.006712962961</v>
      </c>
      <c r="F1359" s="1">
        <v>-1450</v>
      </c>
      <c r="G1359" s="1" t="s">
        <v>0</v>
      </c>
      <c r="H1359" s="1">
        <v>-406.52130126953102</v>
      </c>
    </row>
    <row r="1360" spans="1:8" ht="14.25" customHeight="1" x14ac:dyDescent="0.2">
      <c r="A1360" s="2">
        <v>46296.006747685184</v>
      </c>
      <c r="B1360" s="1">
        <v>-1400</v>
      </c>
      <c r="C1360" s="1">
        <v>280.42977905273398</v>
      </c>
      <c r="D1360" s="1">
        <v>60.908660888671903</v>
      </c>
      <c r="E1360" s="2">
        <v>46296.006747685184</v>
      </c>
      <c r="F1360" s="1">
        <v>-1400</v>
      </c>
      <c r="G1360" s="1" t="s">
        <v>0</v>
      </c>
      <c r="H1360" s="1">
        <v>-406.19674682617199</v>
      </c>
    </row>
    <row r="1361" spans="1:8" ht="14.25" customHeight="1" x14ac:dyDescent="0.2">
      <c r="A1361" s="2">
        <v>46296.006782407407</v>
      </c>
      <c r="B1361" s="1">
        <v>-1350</v>
      </c>
      <c r="C1361" s="1">
        <v>280.93518066406301</v>
      </c>
      <c r="D1361" s="1">
        <v>61.014862060546903</v>
      </c>
      <c r="E1361" s="2">
        <v>46296.006782407407</v>
      </c>
      <c r="F1361" s="1">
        <v>-1350</v>
      </c>
      <c r="G1361" s="1" t="s">
        <v>0</v>
      </c>
      <c r="H1361" s="1">
        <v>-403.60946655273398</v>
      </c>
    </row>
    <row r="1362" spans="1:8" ht="14.25" customHeight="1" x14ac:dyDescent="0.2">
      <c r="A1362" s="2">
        <v>46296.00681712963</v>
      </c>
      <c r="B1362" s="1">
        <v>-1300</v>
      </c>
      <c r="C1362" s="1">
        <v>280.97146606445301</v>
      </c>
      <c r="D1362" s="1">
        <v>61.022491455078097</v>
      </c>
      <c r="E1362" s="2">
        <v>46296.00681712963</v>
      </c>
      <c r="F1362" s="1">
        <v>-1300</v>
      </c>
      <c r="G1362" s="1" t="s">
        <v>0</v>
      </c>
      <c r="H1362" s="1">
        <v>-406.60324096679699</v>
      </c>
    </row>
    <row r="1363" spans="1:8" ht="14.25" customHeight="1" x14ac:dyDescent="0.2">
      <c r="A1363" s="2">
        <v>46296.006851851853</v>
      </c>
      <c r="B1363" s="1">
        <v>-1250</v>
      </c>
      <c r="C1363" s="1">
        <v>280.92645263671898</v>
      </c>
      <c r="D1363" s="1">
        <v>61.013031005859403</v>
      </c>
      <c r="E1363" s="2">
        <v>46296.006851851853</v>
      </c>
      <c r="F1363" s="1">
        <v>-1250</v>
      </c>
      <c r="G1363" s="1" t="s">
        <v>0</v>
      </c>
      <c r="H1363" s="1">
        <v>-406.12075805664102</v>
      </c>
    </row>
    <row r="1364" spans="1:8" ht="14.25" customHeight="1" x14ac:dyDescent="0.2">
      <c r="A1364" s="2">
        <v>46296.006886574076</v>
      </c>
      <c r="B1364" s="1">
        <v>-1200</v>
      </c>
      <c r="C1364" s="1">
        <v>280.52490234375</v>
      </c>
      <c r="D1364" s="1">
        <v>60.9286499023438</v>
      </c>
      <c r="E1364" s="2">
        <v>46296.006886574076</v>
      </c>
      <c r="F1364" s="1">
        <v>-1200</v>
      </c>
      <c r="G1364" s="1" t="s">
        <v>0</v>
      </c>
      <c r="H1364" s="1">
        <v>-396.94839477539102</v>
      </c>
    </row>
    <row r="1365" spans="1:8" ht="14.25" customHeight="1" x14ac:dyDescent="0.2">
      <c r="A1365" s="2">
        <v>46296.006921296299</v>
      </c>
      <c r="B1365" s="1">
        <v>-1150</v>
      </c>
      <c r="C1365" s="1">
        <v>280.09506225585898</v>
      </c>
      <c r="D1365" s="1">
        <v>60.8383178710938</v>
      </c>
      <c r="E1365" s="2">
        <v>46296.006921296299</v>
      </c>
      <c r="F1365" s="1">
        <v>-1150</v>
      </c>
      <c r="G1365" s="1" t="s">
        <v>0</v>
      </c>
      <c r="H1365" s="1">
        <v>-407.38845825195301</v>
      </c>
    </row>
    <row r="1366" spans="1:8" ht="14.25" customHeight="1" x14ac:dyDescent="0.2">
      <c r="A1366" s="2">
        <v>46296.006956018522</v>
      </c>
      <c r="B1366" s="1">
        <v>-1100</v>
      </c>
      <c r="C1366" s="1">
        <v>279.21136474609398</v>
      </c>
      <c r="D1366" s="1">
        <v>60.652618408203097</v>
      </c>
      <c r="E1366" s="2">
        <v>46296.006956018522</v>
      </c>
      <c r="F1366" s="1">
        <v>-1100</v>
      </c>
      <c r="G1366" s="1" t="s">
        <v>0</v>
      </c>
      <c r="H1366" s="1">
        <v>-403.994140625</v>
      </c>
    </row>
    <row r="1367" spans="1:8" ht="14.25" customHeight="1" x14ac:dyDescent="0.2">
      <c r="A1367" s="2">
        <v>46296.007002314815</v>
      </c>
      <c r="B1367" s="1">
        <v>-1050</v>
      </c>
      <c r="C1367" s="1">
        <v>278.36398315429699</v>
      </c>
      <c r="D1367" s="1">
        <v>60.4745483398438</v>
      </c>
      <c r="E1367" s="2">
        <v>46296.007002314815</v>
      </c>
      <c r="F1367" s="1">
        <v>-1050</v>
      </c>
      <c r="G1367" s="1" t="s">
        <v>0</v>
      </c>
      <c r="H1367" s="1">
        <v>-407.63275146484398</v>
      </c>
    </row>
    <row r="1368" spans="1:8" ht="14.25" customHeight="1" x14ac:dyDescent="0.2">
      <c r="A1368" s="2">
        <v>46296.007037037038</v>
      </c>
      <c r="B1368" s="1">
        <v>-1000</v>
      </c>
      <c r="C1368" s="1">
        <v>277.41061401367199</v>
      </c>
      <c r="D1368" s="1">
        <v>60.274200439453097</v>
      </c>
      <c r="E1368" s="2">
        <v>46296.007037037038</v>
      </c>
      <c r="F1368" s="1">
        <v>-1000</v>
      </c>
      <c r="G1368" s="1" t="s">
        <v>0</v>
      </c>
      <c r="H1368" s="1">
        <v>-405.0830078125</v>
      </c>
    </row>
    <row r="1369" spans="1:8" ht="14.25" customHeight="1" x14ac:dyDescent="0.2">
      <c r="A1369" s="2">
        <v>46296.007071759261</v>
      </c>
      <c r="B1369" s="1">
        <v>-950</v>
      </c>
      <c r="C1369" s="1">
        <v>276.15515136718801</v>
      </c>
      <c r="D1369" s="1">
        <v>60.0103759765625</v>
      </c>
      <c r="E1369" s="2">
        <v>46296.007071759261</v>
      </c>
      <c r="F1369" s="1">
        <v>-950</v>
      </c>
      <c r="G1369" s="1" t="s">
        <v>0</v>
      </c>
      <c r="H1369" s="1">
        <v>-405.60089111328102</v>
      </c>
    </row>
    <row r="1370" spans="1:8" ht="14.25" customHeight="1" x14ac:dyDescent="0.2">
      <c r="A1370" s="2">
        <v>46296.007106481484</v>
      </c>
      <c r="B1370" s="1">
        <v>-900</v>
      </c>
      <c r="C1370" s="1">
        <v>274.49380493164102</v>
      </c>
      <c r="D1370" s="1">
        <v>59.6612548828125</v>
      </c>
      <c r="E1370" s="2">
        <v>46296.007106481484</v>
      </c>
      <c r="F1370" s="1">
        <v>-900</v>
      </c>
      <c r="G1370" s="1" t="s">
        <v>0</v>
      </c>
      <c r="H1370" s="1">
        <v>-405.60134887695301</v>
      </c>
    </row>
    <row r="1371" spans="1:8" ht="14.25" customHeight="1" x14ac:dyDescent="0.2">
      <c r="A1371" s="2">
        <v>46296.007141203707</v>
      </c>
      <c r="B1371" s="1">
        <v>-850</v>
      </c>
      <c r="C1371" s="1">
        <v>272.76129150390602</v>
      </c>
      <c r="D1371" s="1">
        <v>59.2971801757813</v>
      </c>
      <c r="E1371" s="2">
        <v>46296.007141203707</v>
      </c>
      <c r="F1371" s="1">
        <v>-850</v>
      </c>
      <c r="G1371" s="1" t="s">
        <v>0</v>
      </c>
      <c r="H1371" s="1">
        <v>-405.67916870117199</v>
      </c>
    </row>
    <row r="1372" spans="1:8" ht="14.25" customHeight="1" x14ac:dyDescent="0.2">
      <c r="A1372" s="2">
        <v>46296.007175925923</v>
      </c>
      <c r="B1372" s="1">
        <v>-800</v>
      </c>
      <c r="C1372" s="1">
        <v>270.58511352539102</v>
      </c>
      <c r="D1372" s="1">
        <v>58.839874267578097</v>
      </c>
      <c r="E1372" s="2">
        <v>46296.007175925923</v>
      </c>
      <c r="F1372" s="1">
        <v>-800</v>
      </c>
      <c r="G1372" s="1" t="s">
        <v>0</v>
      </c>
      <c r="H1372" s="1">
        <v>-405.80078125</v>
      </c>
    </row>
    <row r="1373" spans="1:8" ht="14.25" customHeight="1" x14ac:dyDescent="0.2">
      <c r="A1373" s="2">
        <v>46296.007210648146</v>
      </c>
      <c r="B1373" s="1">
        <v>-750</v>
      </c>
      <c r="C1373" s="1">
        <v>268.06259155273398</v>
      </c>
      <c r="D1373" s="1">
        <v>58.309783935546903</v>
      </c>
      <c r="E1373" s="2">
        <v>46296.007210648146</v>
      </c>
      <c r="F1373" s="1">
        <v>-750</v>
      </c>
      <c r="G1373" s="1" t="s">
        <v>0</v>
      </c>
      <c r="H1373" s="1">
        <v>-403.7939453125</v>
      </c>
    </row>
    <row r="1374" spans="1:8" ht="14.25" customHeight="1" x14ac:dyDescent="0.2">
      <c r="A1374" s="2">
        <v>46296.007245370369</v>
      </c>
      <c r="B1374" s="1">
        <v>-700</v>
      </c>
      <c r="C1374" s="1">
        <v>265.25543212890602</v>
      </c>
      <c r="D1374" s="1">
        <v>57.719879150390597</v>
      </c>
      <c r="E1374" s="2">
        <v>46296.007245370369</v>
      </c>
      <c r="F1374" s="1">
        <v>-700</v>
      </c>
      <c r="G1374" s="1" t="s">
        <v>0</v>
      </c>
      <c r="H1374" s="1">
        <v>-405.74768066406301</v>
      </c>
    </row>
    <row r="1375" spans="1:8" ht="14.25" customHeight="1" x14ac:dyDescent="0.2">
      <c r="A1375" s="2">
        <v>46296.007280092592</v>
      </c>
      <c r="B1375" s="1">
        <v>-650</v>
      </c>
      <c r="C1375" s="1">
        <v>262.32772827148398</v>
      </c>
      <c r="D1375" s="1">
        <v>57.104644775390597</v>
      </c>
      <c r="E1375" s="2">
        <v>46296.007280092592</v>
      </c>
      <c r="F1375" s="1">
        <v>-650</v>
      </c>
      <c r="G1375" s="1" t="s">
        <v>0</v>
      </c>
      <c r="H1375" s="1">
        <v>-405.71533203125</v>
      </c>
    </row>
    <row r="1376" spans="1:8" ht="14.25" customHeight="1" x14ac:dyDescent="0.2">
      <c r="A1376" s="2">
        <v>46296.007314814815</v>
      </c>
      <c r="B1376" s="1">
        <v>-600</v>
      </c>
      <c r="C1376" s="1">
        <v>258.92297363281301</v>
      </c>
      <c r="D1376" s="1">
        <v>56.38916015625</v>
      </c>
      <c r="E1376" s="2">
        <v>46296.007314814815</v>
      </c>
      <c r="F1376" s="1">
        <v>-600</v>
      </c>
      <c r="G1376" s="1" t="s">
        <v>0</v>
      </c>
      <c r="H1376" s="1">
        <v>-405.74859619140602</v>
      </c>
    </row>
    <row r="1377" spans="1:8" ht="14.25" customHeight="1" x14ac:dyDescent="0.2">
      <c r="A1377" s="2">
        <v>46296.007349537038</v>
      </c>
      <c r="B1377" s="1">
        <v>-550</v>
      </c>
      <c r="C1377" s="1">
        <v>255.22633361816401</v>
      </c>
      <c r="D1377" s="1">
        <v>55.612335205078097</v>
      </c>
      <c r="E1377" s="2">
        <v>46296.007349537038</v>
      </c>
      <c r="F1377" s="1">
        <v>-550</v>
      </c>
      <c r="G1377" s="1" t="s">
        <v>0</v>
      </c>
      <c r="H1377" s="1">
        <v>-405.91110229492199</v>
      </c>
    </row>
    <row r="1378" spans="1:8" ht="14.25" customHeight="1" x14ac:dyDescent="0.2">
      <c r="A1378" s="2">
        <v>46296.007384259261</v>
      </c>
      <c r="B1378" s="1">
        <v>-500</v>
      </c>
      <c r="C1378" s="1">
        <v>251.03446960449199</v>
      </c>
      <c r="D1378" s="1">
        <v>54.7314453125</v>
      </c>
      <c r="E1378" s="2">
        <v>46296.007384259261</v>
      </c>
      <c r="F1378" s="1">
        <v>-500</v>
      </c>
      <c r="G1378" s="1" t="s">
        <v>0</v>
      </c>
      <c r="H1378" s="1">
        <v>-405.85357666015602</v>
      </c>
    </row>
    <row r="1379" spans="1:8" ht="14.25" customHeight="1" x14ac:dyDescent="0.2">
      <c r="A1379" s="2">
        <v>46296.007418981484</v>
      </c>
      <c r="B1379" s="1">
        <v>-450</v>
      </c>
      <c r="C1379" s="1">
        <v>246.80557250976599</v>
      </c>
      <c r="D1379" s="1">
        <v>53.8427734375</v>
      </c>
      <c r="E1379" s="2">
        <v>46296.007418981484</v>
      </c>
      <c r="F1379" s="1">
        <v>-450</v>
      </c>
      <c r="G1379" s="1" t="s">
        <v>0</v>
      </c>
      <c r="H1379" s="1">
        <v>-405.88195800781301</v>
      </c>
    </row>
    <row r="1380" spans="1:8" ht="14.25" customHeight="1" x14ac:dyDescent="0.2">
      <c r="A1380" s="2">
        <v>46296.007453703707</v>
      </c>
      <c r="B1380" s="1">
        <v>-400</v>
      </c>
      <c r="C1380" s="1">
        <v>242.05969238281301</v>
      </c>
      <c r="D1380" s="1">
        <v>52.845458984375</v>
      </c>
      <c r="E1380" s="2">
        <v>46296.007453703707</v>
      </c>
      <c r="F1380" s="1">
        <v>-400</v>
      </c>
      <c r="G1380" s="1" t="s">
        <v>0</v>
      </c>
      <c r="H1380" s="1">
        <v>-406.0693359375</v>
      </c>
    </row>
    <row r="1381" spans="1:8" ht="14.25" customHeight="1" x14ac:dyDescent="0.2">
      <c r="A1381" s="2">
        <v>46296.007488425923</v>
      </c>
      <c r="B1381" s="1">
        <v>-350</v>
      </c>
      <c r="C1381" s="1">
        <v>236.76341247558599</v>
      </c>
      <c r="D1381" s="1">
        <v>51.7324829101563</v>
      </c>
      <c r="E1381" s="2">
        <v>46296.007488425923</v>
      </c>
      <c r="F1381" s="1">
        <v>-350</v>
      </c>
      <c r="G1381" s="1" t="s">
        <v>0</v>
      </c>
      <c r="H1381" s="1">
        <v>-406.14440917968801</v>
      </c>
    </row>
    <row r="1382" spans="1:8" ht="14.25" customHeight="1" x14ac:dyDescent="0.2">
      <c r="A1382" s="2">
        <v>46296.007523148146</v>
      </c>
      <c r="B1382" s="1">
        <v>-300</v>
      </c>
      <c r="C1382" s="1">
        <v>231.19265747070301</v>
      </c>
      <c r="D1382" s="1">
        <v>50.5618286132813</v>
      </c>
      <c r="E1382" s="2">
        <v>46296.007523148146</v>
      </c>
      <c r="F1382" s="1">
        <v>-300</v>
      </c>
      <c r="G1382" s="1" t="s">
        <v>0</v>
      </c>
      <c r="H1382" s="1">
        <v>-406.009521484375</v>
      </c>
    </row>
    <row r="1383" spans="1:8" ht="14.25" customHeight="1" x14ac:dyDescent="0.2">
      <c r="A1383" s="2">
        <v>46296.007557870369</v>
      </c>
      <c r="B1383" s="1">
        <v>-250</v>
      </c>
      <c r="C1383" s="1">
        <v>225.71774291992199</v>
      </c>
      <c r="D1383" s="1">
        <v>49.4113159179688</v>
      </c>
      <c r="E1383" s="2">
        <v>46296.007557870369</v>
      </c>
      <c r="F1383" s="1">
        <v>-250</v>
      </c>
      <c r="G1383" s="1" t="s">
        <v>0</v>
      </c>
      <c r="H1383" s="1">
        <v>-406.17294311523398</v>
      </c>
    </row>
    <row r="1384" spans="1:8" ht="14.25" customHeight="1" x14ac:dyDescent="0.2">
      <c r="A1384" s="2">
        <v>46296.007592592592</v>
      </c>
      <c r="B1384" s="1">
        <v>-200</v>
      </c>
      <c r="C1384" s="1">
        <v>219.39762878418</v>
      </c>
      <c r="D1384" s="1">
        <v>48.0831909179688</v>
      </c>
      <c r="E1384" s="2">
        <v>46296.007592592592</v>
      </c>
      <c r="F1384" s="1">
        <v>-200</v>
      </c>
      <c r="G1384" s="1" t="s">
        <v>0</v>
      </c>
      <c r="H1384" s="1">
        <v>-406.07925415039102</v>
      </c>
    </row>
    <row r="1385" spans="1:8" ht="14.25" customHeight="1" x14ac:dyDescent="0.2">
      <c r="A1385" s="2">
        <v>46296.007627314815</v>
      </c>
      <c r="B1385" s="1">
        <v>-150</v>
      </c>
      <c r="C1385" s="1">
        <v>213.03541564941401</v>
      </c>
      <c r="D1385" s="1">
        <v>46.7462158203125</v>
      </c>
      <c r="E1385" s="2">
        <v>46296.007627314815</v>
      </c>
      <c r="F1385" s="1">
        <v>-150</v>
      </c>
      <c r="G1385" s="1" t="s">
        <v>0</v>
      </c>
      <c r="H1385" s="1">
        <v>-406.06765747070301</v>
      </c>
    </row>
    <row r="1386" spans="1:8" ht="14.25" customHeight="1" x14ac:dyDescent="0.2">
      <c r="A1386" s="2">
        <v>46296.007662037038</v>
      </c>
      <c r="B1386" s="1">
        <v>-100</v>
      </c>
      <c r="C1386" s="1">
        <v>206.18669128418</v>
      </c>
      <c r="D1386" s="1">
        <v>45.3070068359375</v>
      </c>
      <c r="E1386" s="2">
        <v>46296.007662037038</v>
      </c>
      <c r="F1386" s="1">
        <v>-100</v>
      </c>
      <c r="G1386" s="1" t="s">
        <v>0</v>
      </c>
      <c r="H1386" s="1">
        <v>-405.96603393554699</v>
      </c>
    </row>
    <row r="1387" spans="1:8" ht="14.25" customHeight="1" x14ac:dyDescent="0.2">
      <c r="A1387" s="2">
        <v>46296.007696759261</v>
      </c>
      <c r="B1387" s="1">
        <v>-50</v>
      </c>
      <c r="C1387" s="1">
        <v>199.63278198242199</v>
      </c>
      <c r="D1387" s="1">
        <v>43.9297485351563</v>
      </c>
      <c r="E1387" s="2">
        <v>46296.007696759261</v>
      </c>
      <c r="F1387" s="1">
        <v>-50</v>
      </c>
      <c r="G1387" s="1" t="s">
        <v>0</v>
      </c>
      <c r="H1387" s="1">
        <v>-405.80795288085898</v>
      </c>
    </row>
    <row r="1388" spans="1:8" ht="14.25" customHeight="1" x14ac:dyDescent="0.2">
      <c r="A1388" s="2">
        <v>46296.007731481484</v>
      </c>
      <c r="B1388" s="1">
        <v>0</v>
      </c>
      <c r="C1388" s="1">
        <v>192.38687133789099</v>
      </c>
      <c r="D1388" s="1">
        <v>42.407073974609403</v>
      </c>
      <c r="E1388" s="2">
        <v>46296.007731481484</v>
      </c>
      <c r="F1388" s="1">
        <v>0</v>
      </c>
      <c r="G1388" s="1" t="s">
        <v>0</v>
      </c>
      <c r="H1388" s="1">
        <v>-405.82092285156301</v>
      </c>
    </row>
    <row r="1389" spans="1:8" ht="14.25" customHeight="1" x14ac:dyDescent="0.2">
      <c r="A1389" s="2">
        <v>46296.0077662037</v>
      </c>
      <c r="B1389" s="1">
        <v>50</v>
      </c>
      <c r="C1389" s="1">
        <v>185.94985961914099</v>
      </c>
      <c r="D1389" s="1">
        <v>41.0543823242188</v>
      </c>
      <c r="E1389" s="2">
        <v>46296.0077662037</v>
      </c>
      <c r="F1389" s="1">
        <v>50</v>
      </c>
      <c r="G1389" s="1" t="s">
        <v>0</v>
      </c>
      <c r="H1389" s="1">
        <v>-405.82458496093801</v>
      </c>
    </row>
    <row r="1390" spans="1:8" ht="14.25" customHeight="1" x14ac:dyDescent="0.2">
      <c r="A1390" s="2">
        <v>46296.007800925923</v>
      </c>
      <c r="B1390" s="1">
        <v>100</v>
      </c>
      <c r="C1390" s="1">
        <v>178.99949645996099</v>
      </c>
      <c r="D1390" s="1">
        <v>39.5938110351563</v>
      </c>
      <c r="E1390" s="2">
        <v>46296.007800925923</v>
      </c>
      <c r="F1390" s="1">
        <v>100</v>
      </c>
      <c r="G1390" s="1" t="s">
        <v>0</v>
      </c>
      <c r="H1390" s="1">
        <v>-405.81466674804699</v>
      </c>
    </row>
    <row r="1391" spans="1:8" ht="14.25" customHeight="1" x14ac:dyDescent="0.2">
      <c r="A1391" s="2">
        <v>46296.007835648146</v>
      </c>
      <c r="B1391" s="1">
        <v>150</v>
      </c>
      <c r="C1391" s="1">
        <v>171.21189880371099</v>
      </c>
      <c r="D1391" s="1">
        <v>37.957305908203097</v>
      </c>
      <c r="E1391" s="2">
        <v>46296.007835648146</v>
      </c>
      <c r="F1391" s="1">
        <v>150</v>
      </c>
      <c r="G1391" s="1" t="s">
        <v>0</v>
      </c>
      <c r="H1391" s="1">
        <v>-405.85128784179699</v>
      </c>
    </row>
    <row r="1392" spans="1:8" ht="14.25" customHeight="1" x14ac:dyDescent="0.2">
      <c r="A1392" s="2">
        <v>46296.007870370369</v>
      </c>
      <c r="B1392" s="1">
        <v>200</v>
      </c>
      <c r="C1392" s="1">
        <v>163.73582458496099</v>
      </c>
      <c r="D1392" s="1">
        <v>36.386260986328097</v>
      </c>
      <c r="E1392" s="2">
        <v>46296.007870370369</v>
      </c>
      <c r="F1392" s="1">
        <v>200</v>
      </c>
      <c r="G1392" s="1" t="s">
        <v>0</v>
      </c>
      <c r="H1392" s="1">
        <v>-405.91934204101602</v>
      </c>
    </row>
    <row r="1393" spans="1:8" ht="14.25" customHeight="1" x14ac:dyDescent="0.2">
      <c r="A1393" s="2">
        <v>46296.007905092592</v>
      </c>
      <c r="B1393" s="1">
        <v>250</v>
      </c>
      <c r="C1393" s="1">
        <v>157.03305053710901</v>
      </c>
      <c r="D1393" s="1">
        <v>34.9777221679688</v>
      </c>
      <c r="E1393" s="2">
        <v>46296.007905092592</v>
      </c>
      <c r="F1393" s="1">
        <v>250</v>
      </c>
      <c r="G1393" s="1" t="s">
        <v>0</v>
      </c>
      <c r="H1393" s="1">
        <v>-406.13098144531301</v>
      </c>
    </row>
    <row r="1394" spans="1:8" ht="14.25" customHeight="1" x14ac:dyDescent="0.2">
      <c r="A1394" s="2">
        <v>46296.007939814815</v>
      </c>
      <c r="B1394" s="1">
        <v>300</v>
      </c>
      <c r="C1394" s="1">
        <v>150.67301940918</v>
      </c>
      <c r="D1394" s="1">
        <v>33.641204833984403</v>
      </c>
      <c r="E1394" s="2">
        <v>46296.007939814815</v>
      </c>
      <c r="F1394" s="1">
        <v>300</v>
      </c>
      <c r="G1394" s="1" t="s">
        <v>0</v>
      </c>
      <c r="H1394" s="1">
        <v>-405.95993041992199</v>
      </c>
    </row>
    <row r="1395" spans="1:8" ht="14.25" customHeight="1" x14ac:dyDescent="0.2">
      <c r="A1395" s="2">
        <v>46296.007974537039</v>
      </c>
      <c r="B1395" s="1">
        <v>350</v>
      </c>
      <c r="C1395" s="1">
        <v>144.34346008300801</v>
      </c>
      <c r="D1395" s="1">
        <v>32.3110961914063</v>
      </c>
      <c r="E1395" s="2">
        <v>46296.007974537039</v>
      </c>
      <c r="F1395" s="1">
        <v>350</v>
      </c>
      <c r="G1395" s="1" t="s">
        <v>0</v>
      </c>
      <c r="H1395" s="1">
        <v>-405.84671020507801</v>
      </c>
    </row>
    <row r="1396" spans="1:8" ht="14.25" customHeight="1" x14ac:dyDescent="0.2">
      <c r="A1396" s="2">
        <v>46296.008009259262</v>
      </c>
      <c r="B1396" s="1">
        <v>400</v>
      </c>
      <c r="C1396" s="1">
        <v>138.21142578125</v>
      </c>
      <c r="D1396" s="1">
        <v>31.0224914550781</v>
      </c>
      <c r="E1396" s="2">
        <v>46296.008009259262</v>
      </c>
      <c r="F1396" s="1">
        <v>400</v>
      </c>
      <c r="G1396" s="1" t="s">
        <v>0</v>
      </c>
      <c r="H1396" s="1">
        <v>-405.91293334960898</v>
      </c>
    </row>
    <row r="1397" spans="1:8" ht="14.25" customHeight="1" x14ac:dyDescent="0.2">
      <c r="A1397" s="2">
        <v>46296.008043981485</v>
      </c>
      <c r="B1397" s="1">
        <v>450</v>
      </c>
      <c r="C1397" s="1">
        <v>132.37998962402301</v>
      </c>
      <c r="D1397" s="1">
        <v>29.7970581054688</v>
      </c>
      <c r="E1397" s="2">
        <v>46296.008043981485</v>
      </c>
      <c r="F1397" s="1">
        <v>450</v>
      </c>
      <c r="G1397" s="1" t="s">
        <v>0</v>
      </c>
      <c r="H1397" s="1">
        <v>-405.99349975585898</v>
      </c>
    </row>
    <row r="1398" spans="1:8" ht="14.25" customHeight="1" x14ac:dyDescent="0.2">
      <c r="A1398" s="2">
        <v>46296.0080787037</v>
      </c>
      <c r="B1398" s="1">
        <v>500</v>
      </c>
      <c r="C1398" s="1">
        <v>126.78890991210901</v>
      </c>
      <c r="D1398" s="1">
        <v>28.6221313476563</v>
      </c>
      <c r="E1398" s="2">
        <v>46296.0080787037</v>
      </c>
      <c r="F1398" s="1">
        <v>500</v>
      </c>
      <c r="G1398" s="1" t="s">
        <v>0</v>
      </c>
      <c r="H1398" s="1">
        <v>-405.78216552734398</v>
      </c>
    </row>
    <row r="1399" spans="1:8" ht="14.25" customHeight="1" x14ac:dyDescent="0.2">
      <c r="A1399" s="2">
        <v>46296.008113425924</v>
      </c>
      <c r="B1399" s="1">
        <v>550</v>
      </c>
      <c r="C1399" s="1">
        <v>121.20362854003901</v>
      </c>
      <c r="D1399" s="1">
        <v>27.4484252929688</v>
      </c>
      <c r="E1399" s="2">
        <v>46296.008113425924</v>
      </c>
      <c r="F1399" s="1">
        <v>550</v>
      </c>
      <c r="G1399" s="1" t="s">
        <v>0</v>
      </c>
      <c r="H1399" s="1">
        <v>-406.15859985351602</v>
      </c>
    </row>
    <row r="1400" spans="1:8" ht="14.25" customHeight="1" x14ac:dyDescent="0.2">
      <c r="A1400" s="2">
        <v>46296.008148148147</v>
      </c>
      <c r="B1400" s="1">
        <v>600</v>
      </c>
      <c r="C1400" s="1">
        <v>115.939292907715</v>
      </c>
      <c r="D1400" s="1">
        <v>26.3421630859375</v>
      </c>
      <c r="E1400" s="2">
        <v>46296.008148148147</v>
      </c>
      <c r="F1400" s="1">
        <v>600</v>
      </c>
      <c r="G1400" s="1" t="s">
        <v>0</v>
      </c>
      <c r="H1400" s="1">
        <v>-406.34048461914102</v>
      </c>
    </row>
    <row r="1401" spans="1:8" ht="14.25" customHeight="1" x14ac:dyDescent="0.2">
      <c r="A1401" s="2">
        <v>46296.00818287037</v>
      </c>
      <c r="B1401" s="1">
        <v>650</v>
      </c>
      <c r="C1401" s="1">
        <v>106.329887390137</v>
      </c>
      <c r="D1401" s="1">
        <v>24.3228149414063</v>
      </c>
      <c r="E1401" s="2">
        <v>46296.00818287037</v>
      </c>
      <c r="F1401" s="1">
        <v>650</v>
      </c>
      <c r="G1401" s="1" t="s">
        <v>0</v>
      </c>
      <c r="H1401" s="1">
        <v>-406.25930786132801</v>
      </c>
    </row>
    <row r="1402" spans="1:8" ht="14.25" customHeight="1" x14ac:dyDescent="0.2">
      <c r="A1402" s="2">
        <v>46296.008217592593</v>
      </c>
      <c r="B1402" s="1">
        <v>700</v>
      </c>
      <c r="C1402" s="1">
        <v>96.890388488769503</v>
      </c>
      <c r="D1402" s="1">
        <v>22.3391723632813</v>
      </c>
      <c r="E1402" s="2">
        <v>46296.008217592593</v>
      </c>
      <c r="F1402" s="1">
        <v>700</v>
      </c>
      <c r="G1402" s="1" t="s">
        <v>0</v>
      </c>
      <c r="H1402" s="1">
        <v>-406.12945556640602</v>
      </c>
    </row>
    <row r="1403" spans="1:8" ht="14.25" customHeight="1" x14ac:dyDescent="0.2">
      <c r="A1403" s="2">
        <v>46296.008252314816</v>
      </c>
      <c r="B1403" s="1">
        <v>750</v>
      </c>
      <c r="C1403" s="1">
        <v>90.153488159179702</v>
      </c>
      <c r="D1403" s="1">
        <v>20.9234619140625</v>
      </c>
      <c r="E1403" s="2">
        <v>46296.008252314816</v>
      </c>
      <c r="F1403" s="1">
        <v>750</v>
      </c>
      <c r="G1403" s="1" t="s">
        <v>0</v>
      </c>
      <c r="H1403" s="1">
        <v>-406.02478027343801</v>
      </c>
    </row>
    <row r="1404" spans="1:8" ht="14.25" customHeight="1" x14ac:dyDescent="0.2">
      <c r="A1404" s="2">
        <v>46296.008287037039</v>
      </c>
      <c r="B1404" s="1">
        <v>800</v>
      </c>
      <c r="C1404" s="1">
        <v>83.4971923828125</v>
      </c>
      <c r="D1404" s="1">
        <v>19.5246887207031</v>
      </c>
      <c r="E1404" s="2">
        <v>46296.008287037039</v>
      </c>
      <c r="F1404" s="1">
        <v>800</v>
      </c>
      <c r="G1404" s="1" t="s">
        <v>0</v>
      </c>
      <c r="H1404" s="1">
        <v>-406.04141235351602</v>
      </c>
    </row>
    <row r="1405" spans="1:8" ht="14.25" customHeight="1" x14ac:dyDescent="0.2">
      <c r="A1405" s="2">
        <v>46296.008321759262</v>
      </c>
      <c r="B1405" s="1">
        <v>850</v>
      </c>
      <c r="C1405" s="1">
        <v>75.610130310058594</v>
      </c>
      <c r="D1405" s="1">
        <v>17.8672790527344</v>
      </c>
      <c r="E1405" s="2">
        <v>46296.008321759262</v>
      </c>
      <c r="F1405" s="1">
        <v>850</v>
      </c>
      <c r="G1405" s="1" t="s">
        <v>0</v>
      </c>
      <c r="H1405" s="1">
        <v>-406.03179931640602</v>
      </c>
    </row>
    <row r="1406" spans="1:8" ht="14.25" customHeight="1" x14ac:dyDescent="0.2">
      <c r="A1406" s="2">
        <v>46296.008356481485</v>
      </c>
      <c r="B1406" s="1">
        <v>900</v>
      </c>
      <c r="C1406" s="1">
        <v>68.063613891601605</v>
      </c>
      <c r="D1406" s="1">
        <v>16.2814331054688</v>
      </c>
      <c r="E1406" s="2">
        <v>46296.008356481485</v>
      </c>
      <c r="F1406" s="1">
        <v>900</v>
      </c>
      <c r="G1406" s="1" t="s">
        <v>0</v>
      </c>
      <c r="H1406" s="1">
        <v>-405.81466674804699</v>
      </c>
    </row>
    <row r="1407" spans="1:8" ht="14.25" customHeight="1" x14ac:dyDescent="0.2">
      <c r="A1407" s="2">
        <v>46296.008391203701</v>
      </c>
      <c r="B1407" s="1">
        <v>950</v>
      </c>
      <c r="C1407" s="1">
        <v>60.991252899169901</v>
      </c>
      <c r="D1407" s="1">
        <v>14.7952270507813</v>
      </c>
      <c r="E1407" s="2">
        <v>46296.008391203701</v>
      </c>
      <c r="F1407" s="1">
        <v>950</v>
      </c>
      <c r="G1407" s="1" t="s">
        <v>0</v>
      </c>
      <c r="H1407" s="1">
        <v>-405.88836669921898</v>
      </c>
    </row>
    <row r="1408" spans="1:8" ht="14.25" customHeight="1" x14ac:dyDescent="0.2">
      <c r="A1408" s="2">
        <v>46296.008425925924</v>
      </c>
      <c r="B1408" s="1">
        <v>1000</v>
      </c>
      <c r="C1408" s="1">
        <v>53.515171051025398</v>
      </c>
      <c r="D1408" s="1">
        <v>13.2241821289063</v>
      </c>
      <c r="E1408" s="2">
        <v>46296.008425925924</v>
      </c>
      <c r="F1408" s="1">
        <v>1000</v>
      </c>
      <c r="G1408" s="1" t="s">
        <v>0</v>
      </c>
      <c r="H1408" s="1">
        <v>-405.83160400390602</v>
      </c>
    </row>
    <row r="1409" spans="1:8" ht="14.25" customHeight="1" x14ac:dyDescent="0.2">
      <c r="A1409" s="2">
        <v>46296.008460648147</v>
      </c>
      <c r="B1409" s="1">
        <v>1050</v>
      </c>
      <c r="C1409" s="1">
        <v>46.361484527587898</v>
      </c>
      <c r="D1409" s="1">
        <v>11.7208862304688</v>
      </c>
      <c r="E1409" s="2">
        <v>46296.008460648147</v>
      </c>
      <c r="F1409" s="1">
        <v>1050</v>
      </c>
      <c r="G1409" s="1" t="s">
        <v>0</v>
      </c>
      <c r="H1409" s="1">
        <v>-405.98052978515602</v>
      </c>
    </row>
    <row r="1410" spans="1:8" ht="14.25" customHeight="1" x14ac:dyDescent="0.2">
      <c r="A1410" s="2">
        <v>46296.00849537037</v>
      </c>
      <c r="B1410" s="1">
        <v>1100</v>
      </c>
      <c r="C1410" s="1">
        <v>38.271835327148402</v>
      </c>
      <c r="D1410" s="1">
        <v>10.0209045410156</v>
      </c>
      <c r="E1410" s="2">
        <v>46296.00849537037</v>
      </c>
      <c r="F1410" s="1">
        <v>1100</v>
      </c>
      <c r="G1410" s="1" t="s">
        <v>0</v>
      </c>
      <c r="H1410" s="1">
        <v>-405.88775634765602</v>
      </c>
    </row>
    <row r="1411" spans="1:8" ht="14.25" customHeight="1" x14ac:dyDescent="0.2">
      <c r="A1411" s="2">
        <v>46296.008530092593</v>
      </c>
      <c r="B1411" s="1">
        <v>1150</v>
      </c>
      <c r="C1411" s="1">
        <v>31.7244548797607</v>
      </c>
      <c r="D1411" s="1">
        <v>8.64501953125</v>
      </c>
      <c r="E1411" s="2">
        <v>46296.008530092593</v>
      </c>
      <c r="F1411" s="1">
        <v>1150</v>
      </c>
      <c r="G1411" s="1" t="s">
        <v>0</v>
      </c>
      <c r="H1411" s="1">
        <v>-405.85556030273398</v>
      </c>
    </row>
    <row r="1412" spans="1:8" ht="14.25" customHeight="1" x14ac:dyDescent="0.2">
      <c r="A1412" s="2">
        <v>46296.008564814816</v>
      </c>
      <c r="B1412" s="1">
        <v>1200</v>
      </c>
      <c r="C1412" s="1">
        <v>26.529827117919901</v>
      </c>
      <c r="D1412" s="1">
        <v>7.55340576171875</v>
      </c>
      <c r="E1412" s="2">
        <v>46296.008564814816</v>
      </c>
      <c r="F1412" s="1">
        <v>1200</v>
      </c>
      <c r="G1412" s="1" t="s">
        <v>0</v>
      </c>
      <c r="H1412" s="1">
        <v>-405.91171264648398</v>
      </c>
    </row>
    <row r="1413" spans="1:8" ht="14.25" customHeight="1" x14ac:dyDescent="0.2">
      <c r="A1413" s="2">
        <v>46296.008599537039</v>
      </c>
      <c r="B1413" s="1">
        <v>1250</v>
      </c>
      <c r="C1413" s="1">
        <v>22.1368312835693</v>
      </c>
      <c r="D1413" s="1">
        <v>6.6302490234375</v>
      </c>
      <c r="E1413" s="2">
        <v>46296.008599537039</v>
      </c>
      <c r="F1413" s="1">
        <v>1250</v>
      </c>
      <c r="G1413" s="1" t="s">
        <v>0</v>
      </c>
      <c r="H1413" s="1">
        <v>-405.83282470703102</v>
      </c>
    </row>
    <row r="1414" spans="1:8" ht="14.25" customHeight="1" x14ac:dyDescent="0.2">
      <c r="A1414" s="2">
        <v>46296.008634259262</v>
      </c>
      <c r="B1414" s="1">
        <v>1300</v>
      </c>
      <c r="C1414" s="1">
        <v>18.703031539916999</v>
      </c>
      <c r="D1414" s="1">
        <v>5.9086608886718803</v>
      </c>
      <c r="E1414" s="2">
        <v>46296.008634259262</v>
      </c>
      <c r="F1414" s="1">
        <v>1300</v>
      </c>
      <c r="G1414" s="1" t="s">
        <v>0</v>
      </c>
      <c r="H1414" s="1">
        <v>-405.90652465820301</v>
      </c>
    </row>
    <row r="1415" spans="1:8" ht="14.25" customHeight="1" x14ac:dyDescent="0.2">
      <c r="A1415" s="2">
        <v>46296.008668981478</v>
      </c>
      <c r="B1415" s="1">
        <v>1350</v>
      </c>
      <c r="C1415" s="1">
        <v>15.0710039138794</v>
      </c>
      <c r="D1415" s="1">
        <v>5.1454162597656303</v>
      </c>
      <c r="E1415" s="2">
        <v>46296.008668981478</v>
      </c>
      <c r="F1415" s="1">
        <v>1350</v>
      </c>
      <c r="G1415" s="1" t="s">
        <v>0</v>
      </c>
      <c r="H1415" s="1">
        <v>-405.83679199218801</v>
      </c>
    </row>
    <row r="1416" spans="1:8" ht="14.25" customHeight="1" x14ac:dyDescent="0.2">
      <c r="A1416" s="2">
        <v>46296.008703703701</v>
      </c>
      <c r="B1416" s="1">
        <v>1400</v>
      </c>
      <c r="C1416" s="1">
        <v>12.400352478027299</v>
      </c>
      <c r="D1416" s="1">
        <v>4.5841979980468803</v>
      </c>
      <c r="E1416" s="2">
        <v>46296.008703703701</v>
      </c>
      <c r="F1416" s="1">
        <v>1400</v>
      </c>
      <c r="G1416" s="1" t="s">
        <v>0</v>
      </c>
      <c r="H1416" s="1">
        <v>-405.89416503906301</v>
      </c>
    </row>
    <row r="1417" spans="1:8" ht="14.25" customHeight="1" x14ac:dyDescent="0.2">
      <c r="A1417" s="2">
        <v>46296.008738425924</v>
      </c>
      <c r="B1417" s="1">
        <v>1450</v>
      </c>
      <c r="C1417" s="1">
        <v>9.7028350830078107</v>
      </c>
      <c r="D1417" s="1">
        <v>4.017333984375</v>
      </c>
      <c r="E1417" s="2">
        <v>46296.008738425924</v>
      </c>
      <c r="F1417" s="1">
        <v>1450</v>
      </c>
      <c r="G1417" s="1" t="s">
        <v>0</v>
      </c>
      <c r="H1417" s="1">
        <v>-405.98495483398398</v>
      </c>
    </row>
    <row r="1418" spans="1:8" ht="14.25" customHeight="1" x14ac:dyDescent="0.2">
      <c r="A1418" s="2">
        <v>46296.008773148147</v>
      </c>
      <c r="B1418" s="1">
        <v>1500</v>
      </c>
      <c r="C1418" s="1">
        <v>7.3088331222534197</v>
      </c>
      <c r="D1418" s="1">
        <v>3.5142517089843799</v>
      </c>
      <c r="E1418" s="2">
        <v>46296.008773148147</v>
      </c>
      <c r="F1418" s="1">
        <v>1500</v>
      </c>
      <c r="G1418" s="1" t="s">
        <v>0</v>
      </c>
      <c r="H1418" s="1">
        <v>-405.88073730468801</v>
      </c>
    </row>
    <row r="1419" spans="1:8" ht="14.25" customHeight="1" x14ac:dyDescent="0.2">
      <c r="A1419" s="2">
        <v>46296.00880787037</v>
      </c>
      <c r="B1419" s="1">
        <v>1550</v>
      </c>
      <c r="C1419" s="1">
        <v>5.0106787681579599</v>
      </c>
      <c r="D1419" s="1">
        <v>3.03131103515625</v>
      </c>
      <c r="E1419" s="2">
        <v>46296.00880787037</v>
      </c>
      <c r="F1419" s="1">
        <v>1550</v>
      </c>
      <c r="G1419" s="1" t="s">
        <v>0</v>
      </c>
      <c r="H1419" s="1">
        <v>-406.05850219726602</v>
      </c>
    </row>
    <row r="1420" spans="1:8" ht="14.25" customHeight="1" x14ac:dyDescent="0.2">
      <c r="A1420" s="2">
        <v>46296.008842592593</v>
      </c>
      <c r="B1420" s="1">
        <v>1600</v>
      </c>
      <c r="C1420" s="1">
        <v>3.1736071109771702</v>
      </c>
      <c r="D1420" s="1">
        <v>2.645263671875</v>
      </c>
      <c r="E1420" s="2">
        <v>46296.008842592593</v>
      </c>
      <c r="F1420" s="1">
        <v>1600</v>
      </c>
      <c r="G1420" s="1" t="s">
        <v>0</v>
      </c>
      <c r="H1420" s="1">
        <v>-410.699462890625</v>
      </c>
    </row>
    <row r="1421" spans="1:8" ht="14.25" customHeight="1" x14ac:dyDescent="0.2">
      <c r="A1421" s="2">
        <v>46296.008877314816</v>
      </c>
      <c r="B1421" s="1">
        <v>1650</v>
      </c>
      <c r="C1421" s="1">
        <v>2.1040394306182901</v>
      </c>
      <c r="D1421" s="1">
        <v>2.4205017089843799</v>
      </c>
      <c r="E1421" s="2">
        <v>46296.008877314816</v>
      </c>
      <c r="F1421" s="1">
        <v>1650</v>
      </c>
      <c r="G1421" s="1" t="s">
        <v>0</v>
      </c>
      <c r="H1421" s="1">
        <v>-405.96603393554699</v>
      </c>
    </row>
    <row r="1422" spans="1:8" ht="14.25" customHeight="1" x14ac:dyDescent="0.2">
      <c r="A1422" s="2">
        <v>46296.008912037039</v>
      </c>
      <c r="B1422" s="1">
        <v>1700</v>
      </c>
      <c r="C1422" s="1">
        <v>1.2857077121734599</v>
      </c>
      <c r="D1422" s="1">
        <v>2.24853515625</v>
      </c>
      <c r="E1422" s="2">
        <v>46296.008912037039</v>
      </c>
      <c r="F1422" s="1">
        <v>1700</v>
      </c>
      <c r="G1422" s="1" t="s">
        <v>0</v>
      </c>
      <c r="H1422" s="1">
        <v>-405.64300537109398</v>
      </c>
    </row>
    <row r="1423" spans="1:8" ht="14.25" customHeight="1" x14ac:dyDescent="0.2">
      <c r="A1423" s="2">
        <v>46296.008946759262</v>
      </c>
      <c r="B1423" s="1">
        <v>1750</v>
      </c>
      <c r="C1423" s="1">
        <v>0.90014058351516701</v>
      </c>
      <c r="D1423" s="1">
        <v>2.1675109863281299</v>
      </c>
      <c r="E1423" s="2">
        <v>46296.008946759262</v>
      </c>
      <c r="F1423" s="1">
        <v>1750</v>
      </c>
      <c r="G1423" s="1" t="s">
        <v>0</v>
      </c>
      <c r="H1423" s="1">
        <v>-407.46963500976602</v>
      </c>
    </row>
    <row r="1424" spans="1:8" ht="14.25" customHeight="1" x14ac:dyDescent="0.2">
      <c r="A1424" s="2">
        <v>46296.008981481478</v>
      </c>
      <c r="B1424" s="1">
        <v>1800</v>
      </c>
      <c r="C1424" s="1">
        <v>0.241554126143456</v>
      </c>
      <c r="D1424" s="1">
        <v>2.02911376953125</v>
      </c>
      <c r="E1424" s="2">
        <v>46296.008981481478</v>
      </c>
      <c r="F1424" s="1">
        <v>1800</v>
      </c>
      <c r="G1424" s="1" t="s">
        <v>0</v>
      </c>
      <c r="H1424" s="1">
        <v>-411.09313964843801</v>
      </c>
    </row>
    <row r="1425" spans="1:8" ht="14.25" customHeight="1" x14ac:dyDescent="0.2">
      <c r="A1425" s="2">
        <v>46296.009016203701</v>
      </c>
      <c r="B1425" s="1">
        <v>1850</v>
      </c>
      <c r="C1425" s="1">
        <v>0.12755404412746399</v>
      </c>
      <c r="D1425" s="1">
        <v>2.0051574707031299</v>
      </c>
      <c r="E1425" s="2">
        <v>46296.009016203701</v>
      </c>
      <c r="F1425" s="1">
        <v>1850</v>
      </c>
      <c r="G1425" s="1" t="s">
        <v>0</v>
      </c>
      <c r="H1425" s="1">
        <v>-406.87347412109398</v>
      </c>
    </row>
    <row r="1426" spans="1:8" ht="14.25" customHeight="1" x14ac:dyDescent="0.2">
      <c r="A1426" s="2">
        <v>46296.009050925924</v>
      </c>
      <c r="B1426" s="1">
        <v>1900</v>
      </c>
      <c r="C1426" s="1">
        <v>-1.18600698187947E-2</v>
      </c>
      <c r="D1426" s="1">
        <v>1.9758605957031301</v>
      </c>
      <c r="E1426" s="2">
        <v>46296.009050925924</v>
      </c>
      <c r="F1426" s="1">
        <v>1900</v>
      </c>
      <c r="G1426" s="1" t="s">
        <v>0</v>
      </c>
      <c r="H1426" s="1">
        <v>-405.65383911132801</v>
      </c>
    </row>
    <row r="1427" spans="1:8" ht="14.25" customHeight="1" x14ac:dyDescent="0.2">
      <c r="A1427" s="2">
        <v>46296.009085648147</v>
      </c>
      <c r="B1427" s="1">
        <v>1950</v>
      </c>
      <c r="C1427" s="1">
        <v>-0.116420656442642</v>
      </c>
      <c r="D1427" s="1">
        <v>1.9538879394531301</v>
      </c>
      <c r="E1427" s="2">
        <v>46296.009085648147</v>
      </c>
      <c r="F1427" s="1">
        <v>1950</v>
      </c>
      <c r="G1427" s="1" t="s">
        <v>0</v>
      </c>
      <c r="H1427" s="1">
        <v>-405.81375122070301</v>
      </c>
    </row>
    <row r="1428" spans="1:8" ht="14.25" customHeight="1" x14ac:dyDescent="0.2">
      <c r="A1428" s="2">
        <v>46296.009120370371</v>
      </c>
      <c r="B1428" s="1">
        <v>2000</v>
      </c>
      <c r="C1428" s="1">
        <v>-0.17886656522750899</v>
      </c>
      <c r="D1428" s="1">
        <v>1.9407653808593801</v>
      </c>
      <c r="E1428" s="2">
        <v>46296.009120370371</v>
      </c>
      <c r="F1428" s="1">
        <v>2000</v>
      </c>
      <c r="G1428" s="1" t="s">
        <v>0</v>
      </c>
      <c r="H1428" s="1">
        <v>-405.909423828125</v>
      </c>
    </row>
    <row r="1429" spans="1:8" ht="14.25" customHeight="1" x14ac:dyDescent="0.2">
      <c r="A1429" s="2">
        <v>46296.009155092594</v>
      </c>
      <c r="B1429" s="1">
        <v>2050</v>
      </c>
      <c r="C1429" s="1">
        <v>-0.31755456328392001</v>
      </c>
      <c r="D1429" s="1">
        <v>1.91162109375</v>
      </c>
      <c r="E1429" s="2">
        <v>46296.009155092594</v>
      </c>
      <c r="F1429" s="1">
        <v>2050</v>
      </c>
      <c r="G1429" s="1" t="s">
        <v>0</v>
      </c>
      <c r="H1429" s="1">
        <v>-405.89218139648398</v>
      </c>
    </row>
    <row r="1430" spans="1:8" ht="14.25" customHeight="1" x14ac:dyDescent="0.2">
      <c r="A1430" s="2">
        <v>46296.009189814817</v>
      </c>
      <c r="B1430" s="1">
        <v>2100</v>
      </c>
      <c r="C1430" s="1">
        <v>-0.37273931503295898</v>
      </c>
      <c r="D1430" s="1">
        <v>1.9000244140625</v>
      </c>
      <c r="E1430" s="2">
        <v>46296.009189814817</v>
      </c>
      <c r="F1430" s="1">
        <v>2100</v>
      </c>
      <c r="G1430" s="1" t="s">
        <v>0</v>
      </c>
      <c r="H1430" s="1">
        <v>-406.16867065429699</v>
      </c>
    </row>
    <row r="1431" spans="1:8" ht="14.25" customHeight="1" x14ac:dyDescent="0.2">
      <c r="A1431" s="2">
        <v>46296.00922453704</v>
      </c>
      <c r="B1431" s="1">
        <v>2150</v>
      </c>
      <c r="C1431" s="1">
        <v>-0.38726159930229198</v>
      </c>
      <c r="D1431" s="1">
        <v>1.89697265625</v>
      </c>
      <c r="E1431" s="2">
        <v>46296.00922453704</v>
      </c>
      <c r="F1431" s="1">
        <v>2150</v>
      </c>
      <c r="G1431" s="1" t="s">
        <v>0</v>
      </c>
      <c r="H1431" s="1">
        <v>-406.20086669921898</v>
      </c>
    </row>
    <row r="1432" spans="1:8" ht="14.25" customHeight="1" x14ac:dyDescent="0.2">
      <c r="A1432" s="2">
        <v>46296.009259259263</v>
      </c>
      <c r="B1432" s="1">
        <v>2200</v>
      </c>
      <c r="C1432" s="1">
        <v>-0.41049730777740501</v>
      </c>
      <c r="D1432" s="1">
        <v>1.89208984375</v>
      </c>
      <c r="E1432" s="2">
        <v>46296.009259259263</v>
      </c>
      <c r="F1432" s="1">
        <v>2200</v>
      </c>
      <c r="G1432" s="1" t="s">
        <v>0</v>
      </c>
      <c r="H1432" s="1">
        <v>-406.35513305664102</v>
      </c>
    </row>
    <row r="1433" spans="1:8" ht="14.25" customHeight="1" x14ac:dyDescent="0.2">
      <c r="A1433" s="2">
        <v>46296.009293981479</v>
      </c>
      <c r="B1433" s="1">
        <v>2250</v>
      </c>
      <c r="C1433" s="1">
        <v>-0.486013263463974</v>
      </c>
      <c r="D1433" s="1">
        <v>1.876220703125</v>
      </c>
      <c r="E1433" s="2">
        <v>46296.009293981479</v>
      </c>
      <c r="F1433" s="1">
        <v>2250</v>
      </c>
      <c r="G1433" s="1" t="s">
        <v>0</v>
      </c>
      <c r="H1433" s="1">
        <v>-405.51055908203102</v>
      </c>
    </row>
    <row r="1434" spans="1:8" ht="14.25" customHeight="1" x14ac:dyDescent="0.2">
      <c r="A1434" s="2">
        <v>46296.009328703702</v>
      </c>
      <c r="B1434" s="1">
        <v>2300</v>
      </c>
      <c r="C1434" s="1">
        <v>-0.38726159930229198</v>
      </c>
      <c r="D1434" s="1">
        <v>1.89697265625</v>
      </c>
      <c r="E1434" s="2">
        <v>46296.009328703702</v>
      </c>
      <c r="F1434" s="1">
        <v>2300</v>
      </c>
      <c r="G1434" s="1" t="s">
        <v>0</v>
      </c>
      <c r="H1434" s="1">
        <v>-406.36581420898398</v>
      </c>
    </row>
    <row r="1435" spans="1:8" ht="14.25" customHeight="1" x14ac:dyDescent="0.2">
      <c r="A1435" s="2">
        <v>46296.009363425925</v>
      </c>
      <c r="B1435" s="1">
        <v>2350</v>
      </c>
      <c r="C1435" s="1">
        <v>-0.346599161624908</v>
      </c>
      <c r="D1435" s="1">
        <v>1.905517578125</v>
      </c>
      <c r="E1435" s="2">
        <v>46296.009363425925</v>
      </c>
      <c r="F1435" s="1">
        <v>2350</v>
      </c>
      <c r="G1435" s="1" t="s">
        <v>0</v>
      </c>
      <c r="H1435" s="1">
        <v>-405.64956665039102</v>
      </c>
    </row>
    <row r="1436" spans="1:8" ht="14.25" customHeight="1" x14ac:dyDescent="0.2">
      <c r="A1436" s="2">
        <v>46296.009398148148</v>
      </c>
      <c r="B1436" s="1">
        <v>2400</v>
      </c>
      <c r="C1436" s="1">
        <v>-0.49036997556686401</v>
      </c>
      <c r="D1436" s="1">
        <v>1.87530517578125</v>
      </c>
      <c r="E1436" s="2">
        <v>46296.009398148148</v>
      </c>
      <c r="F1436" s="1">
        <v>2400</v>
      </c>
      <c r="G1436" s="1" t="s">
        <v>0</v>
      </c>
      <c r="H1436" s="1">
        <v>-406.20407104492199</v>
      </c>
    </row>
    <row r="1437" spans="1:8" ht="14.25" customHeight="1" x14ac:dyDescent="0.2">
      <c r="A1437" s="2">
        <v>46296.009432870371</v>
      </c>
      <c r="B1437" s="1">
        <v>2450</v>
      </c>
      <c r="C1437" s="1">
        <v>-0.41267564892768899</v>
      </c>
      <c r="D1437" s="1">
        <v>1.8916320800781301</v>
      </c>
      <c r="E1437" s="2">
        <v>46296.009432870371</v>
      </c>
      <c r="F1437" s="1">
        <v>2450</v>
      </c>
      <c r="G1437" s="1" t="s">
        <v>0</v>
      </c>
      <c r="H1437" s="1">
        <v>-406.13372802734398</v>
      </c>
    </row>
    <row r="1438" spans="1:8" ht="14.25" customHeight="1" x14ac:dyDescent="0.2">
      <c r="A1438" s="2">
        <v>46296.009467592594</v>
      </c>
      <c r="B1438" s="1">
        <v>2500</v>
      </c>
      <c r="C1438" s="1">
        <v>-0.42574572563171398</v>
      </c>
      <c r="D1438" s="1">
        <v>1.8888854980468801</v>
      </c>
      <c r="E1438" s="2">
        <v>46296.009467592594</v>
      </c>
      <c r="F1438" s="1">
        <v>2500</v>
      </c>
      <c r="G1438" s="1" t="s">
        <v>0</v>
      </c>
      <c r="H1438" s="1">
        <v>-405.88623046875</v>
      </c>
    </row>
    <row r="1439" spans="1:8" ht="14.25" customHeight="1" x14ac:dyDescent="0.2">
      <c r="A1439" s="1"/>
      <c r="B1439" s="1"/>
      <c r="C1439" s="1"/>
      <c r="D1439" s="1"/>
      <c r="E1439" s="1"/>
      <c r="F1439" s="1"/>
      <c r="G1439" s="1"/>
      <c r="H1439" s="1"/>
    </row>
    <row r="1440" spans="1:8" ht="14.25" customHeight="1" x14ac:dyDescent="0.2">
      <c r="A1440" s="2">
        <v>46296.010289351849</v>
      </c>
      <c r="B1440" s="1">
        <v>-1500</v>
      </c>
      <c r="C1440" s="1">
        <v>287.22186279296898</v>
      </c>
      <c r="D1440" s="1">
        <v>62.335968017578097</v>
      </c>
      <c r="E1440" s="2">
        <v>46296.010289351849</v>
      </c>
      <c r="F1440" s="1">
        <v>-1500</v>
      </c>
      <c r="G1440" s="1" t="s">
        <v>0</v>
      </c>
      <c r="H1440" s="1">
        <v>-409.22882080078102</v>
      </c>
    </row>
    <row r="1441" spans="1:8" ht="14.25" customHeight="1" x14ac:dyDescent="0.2">
      <c r="A1441" s="2">
        <v>46296.010324074072</v>
      </c>
      <c r="B1441" s="1">
        <v>-1450</v>
      </c>
      <c r="C1441" s="1">
        <v>286.73681640625</v>
      </c>
      <c r="D1441" s="1">
        <v>62.234039306640597</v>
      </c>
      <c r="E1441" s="2">
        <v>46296.010324074072</v>
      </c>
      <c r="F1441" s="1">
        <v>-1450</v>
      </c>
      <c r="G1441" s="1" t="s">
        <v>0</v>
      </c>
      <c r="H1441" s="1">
        <v>-404.64645385742199</v>
      </c>
    </row>
    <row r="1442" spans="1:8" ht="14.25" customHeight="1" x14ac:dyDescent="0.2">
      <c r="A1442" s="2">
        <v>46296.010358796295</v>
      </c>
      <c r="B1442" s="1">
        <v>-1400</v>
      </c>
      <c r="C1442" s="1">
        <v>286.61773681640602</v>
      </c>
      <c r="D1442" s="1">
        <v>62.209014892578097</v>
      </c>
      <c r="E1442" s="2">
        <v>46296.010358796295</v>
      </c>
      <c r="F1442" s="1">
        <v>-1400</v>
      </c>
      <c r="G1442" s="1" t="s">
        <v>0</v>
      </c>
      <c r="H1442" s="1">
        <v>-405.27297973632801</v>
      </c>
    </row>
    <row r="1443" spans="1:8" ht="14.25" customHeight="1" x14ac:dyDescent="0.2">
      <c r="A1443" s="2">
        <v>46296.010393518518</v>
      </c>
      <c r="B1443" s="1">
        <v>-1350</v>
      </c>
      <c r="C1443" s="1">
        <v>286.1748046875</v>
      </c>
      <c r="D1443" s="1">
        <v>62.115936279296903</v>
      </c>
      <c r="E1443" s="2">
        <v>46296.010393518518</v>
      </c>
      <c r="F1443" s="1">
        <v>-1350</v>
      </c>
      <c r="G1443" s="1" t="s">
        <v>0</v>
      </c>
      <c r="H1443" s="1">
        <v>-404.37789916992199</v>
      </c>
    </row>
    <row r="1444" spans="1:8" ht="14.25" customHeight="1" x14ac:dyDescent="0.2">
      <c r="A1444" s="2">
        <v>46296.010428240741</v>
      </c>
      <c r="B1444" s="1">
        <v>-1300</v>
      </c>
      <c r="C1444" s="1">
        <v>285.96569824218801</v>
      </c>
      <c r="D1444" s="1">
        <v>62.071990966796903</v>
      </c>
      <c r="E1444" s="2">
        <v>46296.010428240741</v>
      </c>
      <c r="F1444" s="1">
        <v>-1300</v>
      </c>
      <c r="G1444" s="1" t="s">
        <v>0</v>
      </c>
      <c r="H1444" s="1">
        <v>-405.13458251953102</v>
      </c>
    </row>
    <row r="1445" spans="1:8" ht="14.25" customHeight="1" x14ac:dyDescent="0.2">
      <c r="A1445" s="2">
        <v>46296.010462962964</v>
      </c>
      <c r="B1445" s="1">
        <v>-1250</v>
      </c>
      <c r="C1445" s="1">
        <v>286.02813720703102</v>
      </c>
      <c r="D1445" s="1">
        <v>62.085113525390597</v>
      </c>
      <c r="E1445" s="2">
        <v>46296.010462962964</v>
      </c>
      <c r="F1445" s="1">
        <v>-1250</v>
      </c>
      <c r="G1445" s="1" t="s">
        <v>0</v>
      </c>
      <c r="H1445" s="1">
        <v>-406.3623046875</v>
      </c>
    </row>
    <row r="1446" spans="1:8" ht="14.25" customHeight="1" x14ac:dyDescent="0.2">
      <c r="A1446" s="2">
        <v>46296.010497685187</v>
      </c>
      <c r="B1446" s="1">
        <v>-1200</v>
      </c>
      <c r="C1446" s="1">
        <v>286.64025878906301</v>
      </c>
      <c r="D1446" s="1">
        <v>62.2137451171875</v>
      </c>
      <c r="E1446" s="2">
        <v>46296.010497685187</v>
      </c>
      <c r="F1446" s="1">
        <v>-1200</v>
      </c>
      <c r="G1446" s="1" t="s">
        <v>0</v>
      </c>
      <c r="H1446" s="1">
        <v>-406.11434936523398</v>
      </c>
    </row>
    <row r="1447" spans="1:8" ht="14.25" customHeight="1" x14ac:dyDescent="0.2">
      <c r="A1447" s="2">
        <v>46296.01053240741</v>
      </c>
      <c r="B1447" s="1">
        <v>-1150</v>
      </c>
      <c r="C1447" s="1">
        <v>286.30407714843801</v>
      </c>
      <c r="D1447" s="1">
        <v>62.143096923828097</v>
      </c>
      <c r="E1447" s="2">
        <v>46296.01053240741</v>
      </c>
      <c r="F1447" s="1">
        <v>-1150</v>
      </c>
      <c r="G1447" s="1" t="s">
        <v>0</v>
      </c>
      <c r="H1447" s="1">
        <v>-406.03744506835898</v>
      </c>
    </row>
    <row r="1448" spans="1:8" ht="14.25" customHeight="1" x14ac:dyDescent="0.2">
      <c r="A1448" s="2">
        <v>46296.010567129626</v>
      </c>
      <c r="B1448" s="1">
        <v>-1100</v>
      </c>
      <c r="C1448" s="1">
        <v>286.05209350585898</v>
      </c>
      <c r="D1448" s="1">
        <v>62.0901489257813</v>
      </c>
      <c r="E1448" s="2">
        <v>46296.010567129626</v>
      </c>
      <c r="F1448" s="1">
        <v>-1100</v>
      </c>
      <c r="G1448" s="1" t="s">
        <v>0</v>
      </c>
      <c r="H1448" s="1">
        <v>-406.05545043945301</v>
      </c>
    </row>
    <row r="1449" spans="1:8" ht="14.25" customHeight="1" x14ac:dyDescent="0.2">
      <c r="A1449" s="2">
        <v>46296.010601851849</v>
      </c>
      <c r="B1449" s="1">
        <v>-1050</v>
      </c>
      <c r="C1449" s="1">
        <v>286.32876586914102</v>
      </c>
      <c r="D1449" s="1">
        <v>62.148284912109403</v>
      </c>
      <c r="E1449" s="2">
        <v>46296.010601851849</v>
      </c>
      <c r="F1449" s="1">
        <v>-1050</v>
      </c>
      <c r="G1449" s="1" t="s">
        <v>0</v>
      </c>
      <c r="H1449" s="1">
        <v>-406.16912841796898</v>
      </c>
    </row>
    <row r="1450" spans="1:8" ht="14.25" customHeight="1" x14ac:dyDescent="0.2">
      <c r="A1450" s="2">
        <v>46296.010636574072</v>
      </c>
      <c r="B1450" s="1">
        <v>-1000</v>
      </c>
      <c r="C1450" s="1">
        <v>286.52844238281301</v>
      </c>
      <c r="D1450" s="1">
        <v>62.1902465820313</v>
      </c>
      <c r="E1450" s="2">
        <v>46296.010636574072</v>
      </c>
      <c r="F1450" s="1">
        <v>-1000</v>
      </c>
      <c r="G1450" s="1" t="s">
        <v>0</v>
      </c>
      <c r="H1450" s="1">
        <v>-406.11541748046898</v>
      </c>
    </row>
    <row r="1451" spans="1:8" ht="14.25" customHeight="1" x14ac:dyDescent="0.2">
      <c r="A1451" s="2">
        <v>46296.010671296295</v>
      </c>
      <c r="B1451" s="1">
        <v>-950</v>
      </c>
      <c r="C1451" s="1">
        <v>285.62225341796898</v>
      </c>
      <c r="D1451" s="1">
        <v>61.9998168945313</v>
      </c>
      <c r="E1451" s="2">
        <v>46296.010671296295</v>
      </c>
      <c r="F1451" s="1">
        <v>-950</v>
      </c>
      <c r="G1451" s="1" t="s">
        <v>0</v>
      </c>
      <c r="H1451" s="1">
        <v>-406.05316162109398</v>
      </c>
    </row>
    <row r="1452" spans="1:8" ht="14.25" customHeight="1" x14ac:dyDescent="0.2">
      <c r="A1452" s="2">
        <v>46296.010706018518</v>
      </c>
      <c r="B1452" s="1">
        <v>-900</v>
      </c>
      <c r="C1452" s="1">
        <v>286.00491333007801</v>
      </c>
      <c r="D1452" s="1">
        <v>62.080230712890597</v>
      </c>
      <c r="E1452" s="2">
        <v>46296.010706018518</v>
      </c>
      <c r="F1452" s="1">
        <v>-900</v>
      </c>
      <c r="G1452" s="1" t="s">
        <v>0</v>
      </c>
      <c r="H1452" s="1">
        <v>-406.14273071289102</v>
      </c>
    </row>
    <row r="1453" spans="1:8" ht="14.25" customHeight="1" x14ac:dyDescent="0.2">
      <c r="A1453" s="2">
        <v>46296.010740740741</v>
      </c>
      <c r="B1453" s="1">
        <v>-850</v>
      </c>
      <c r="C1453" s="1">
        <v>286.94668579101602</v>
      </c>
      <c r="D1453" s="1">
        <v>62.2781372070313</v>
      </c>
      <c r="E1453" s="2">
        <v>46296.010740740741</v>
      </c>
      <c r="F1453" s="1">
        <v>-850</v>
      </c>
      <c r="G1453" s="1" t="s">
        <v>0</v>
      </c>
      <c r="H1453" s="1">
        <v>-406.29165649414102</v>
      </c>
    </row>
    <row r="1454" spans="1:8" ht="14.25" customHeight="1" x14ac:dyDescent="0.2">
      <c r="A1454" s="2">
        <v>46296.010775462964</v>
      </c>
      <c r="B1454" s="1">
        <v>-800</v>
      </c>
      <c r="C1454" s="1">
        <v>286.30770874023398</v>
      </c>
      <c r="D1454" s="1">
        <v>62.1438598632813</v>
      </c>
      <c r="E1454" s="2">
        <v>46296.010775462964</v>
      </c>
      <c r="F1454" s="1">
        <v>-800</v>
      </c>
      <c r="G1454" s="1" t="s">
        <v>0</v>
      </c>
      <c r="H1454" s="1">
        <v>-406.38366699218801</v>
      </c>
    </row>
    <row r="1455" spans="1:8" ht="14.25" customHeight="1" x14ac:dyDescent="0.2">
      <c r="A1455" s="2">
        <v>46296.010810185187</v>
      </c>
      <c r="B1455" s="1">
        <v>-750</v>
      </c>
      <c r="C1455" s="1">
        <v>286.21911621093801</v>
      </c>
      <c r="D1455" s="1">
        <v>62.125244140625</v>
      </c>
      <c r="E1455" s="2">
        <v>46296.010810185187</v>
      </c>
      <c r="F1455" s="1">
        <v>-750</v>
      </c>
      <c r="G1455" s="1" t="s">
        <v>0</v>
      </c>
      <c r="H1455" s="1">
        <v>-406.21871948242199</v>
      </c>
    </row>
    <row r="1456" spans="1:8" ht="14.25" customHeight="1" x14ac:dyDescent="0.2">
      <c r="A1456" s="2">
        <v>46296.010844907411</v>
      </c>
      <c r="B1456" s="1">
        <v>-700</v>
      </c>
      <c r="C1456" s="1">
        <v>286.18206787109398</v>
      </c>
      <c r="D1456" s="1">
        <v>62.117462158203097</v>
      </c>
      <c r="E1456" s="2">
        <v>46296.010844907411</v>
      </c>
      <c r="F1456" s="1">
        <v>-700</v>
      </c>
      <c r="G1456" s="1" t="s">
        <v>0</v>
      </c>
      <c r="H1456" s="1">
        <v>-406.05941772460898</v>
      </c>
    </row>
    <row r="1457" spans="1:8" ht="14.25" customHeight="1" x14ac:dyDescent="0.2">
      <c r="A1457" s="2">
        <v>46296.010879629626</v>
      </c>
      <c r="B1457" s="1">
        <v>-650</v>
      </c>
      <c r="C1457" s="1">
        <v>286.10729980468801</v>
      </c>
      <c r="D1457" s="1">
        <v>62.1017456054688</v>
      </c>
      <c r="E1457" s="2">
        <v>46296.010879629626</v>
      </c>
      <c r="F1457" s="1">
        <v>-650</v>
      </c>
      <c r="G1457" s="1" t="s">
        <v>0</v>
      </c>
      <c r="H1457" s="1">
        <v>-405.96542358398398</v>
      </c>
    </row>
    <row r="1458" spans="1:8" ht="14.25" customHeight="1" x14ac:dyDescent="0.2">
      <c r="A1458" s="2">
        <v>46296.010914351849</v>
      </c>
      <c r="B1458" s="1">
        <v>-600</v>
      </c>
      <c r="C1458" s="1">
        <v>285.96496582031301</v>
      </c>
      <c r="D1458" s="1">
        <v>62.0718383789063</v>
      </c>
      <c r="E1458" s="2">
        <v>46296.010914351849</v>
      </c>
      <c r="F1458" s="1">
        <v>-600</v>
      </c>
      <c r="G1458" s="1" t="s">
        <v>0</v>
      </c>
      <c r="H1458" s="1">
        <v>-406.32614135742199</v>
      </c>
    </row>
    <row r="1459" spans="1:8" ht="14.25" customHeight="1" x14ac:dyDescent="0.2">
      <c r="A1459" s="2">
        <v>46296.010949074072</v>
      </c>
      <c r="B1459" s="1">
        <v>-550</v>
      </c>
      <c r="C1459" s="1">
        <v>286.33746337890602</v>
      </c>
      <c r="D1459" s="1">
        <v>62.150115966796903</v>
      </c>
      <c r="E1459" s="2">
        <v>46296.010949074072</v>
      </c>
      <c r="F1459" s="1">
        <v>-550</v>
      </c>
      <c r="G1459" s="1" t="s">
        <v>0</v>
      </c>
      <c r="H1459" s="1">
        <v>-406.38107299804699</v>
      </c>
    </row>
    <row r="1460" spans="1:8" ht="14.25" customHeight="1" x14ac:dyDescent="0.2">
      <c r="A1460" s="2">
        <v>46296.010983796295</v>
      </c>
      <c r="B1460" s="1">
        <v>-500</v>
      </c>
      <c r="C1460" s="1">
        <v>286.38394165039102</v>
      </c>
      <c r="D1460" s="1">
        <v>62.159881591796903</v>
      </c>
      <c r="E1460" s="2">
        <v>46296.010983796295</v>
      </c>
      <c r="F1460" s="1">
        <v>-500</v>
      </c>
      <c r="G1460" s="1" t="s">
        <v>0</v>
      </c>
      <c r="H1460" s="1">
        <v>-406.57196044921898</v>
      </c>
    </row>
    <row r="1461" spans="1:8" ht="14.25" customHeight="1" x14ac:dyDescent="0.2">
      <c r="A1461" s="2">
        <v>46296.011018518519</v>
      </c>
      <c r="B1461" s="1">
        <v>-450</v>
      </c>
      <c r="C1461" s="1">
        <v>286.34255981445301</v>
      </c>
      <c r="D1461" s="1">
        <v>62.1511840820313</v>
      </c>
      <c r="E1461" s="2">
        <v>46296.011018518519</v>
      </c>
      <c r="F1461" s="1">
        <v>-450</v>
      </c>
      <c r="G1461" s="1" t="s">
        <v>0</v>
      </c>
      <c r="H1461" s="1">
        <v>-406.32720947265602</v>
      </c>
    </row>
    <row r="1462" spans="1:8" ht="14.25" customHeight="1" x14ac:dyDescent="0.2">
      <c r="A1462" s="2">
        <v>46296.011053240742</v>
      </c>
      <c r="B1462" s="1">
        <v>-400</v>
      </c>
      <c r="C1462" s="1">
        <v>285.04788208007801</v>
      </c>
      <c r="D1462" s="1">
        <v>61.879119873046903</v>
      </c>
      <c r="E1462" s="2">
        <v>46296.011053240742</v>
      </c>
      <c r="F1462" s="1">
        <v>-400</v>
      </c>
      <c r="G1462" s="1" t="s">
        <v>0</v>
      </c>
      <c r="H1462" s="1">
        <v>-406.3916015625</v>
      </c>
    </row>
    <row r="1463" spans="1:8" ht="14.25" customHeight="1" x14ac:dyDescent="0.2">
      <c r="A1463" s="2">
        <v>46296.011087962965</v>
      </c>
      <c r="B1463" s="1">
        <v>-350</v>
      </c>
      <c r="C1463" s="1">
        <v>280.275146484375</v>
      </c>
      <c r="D1463" s="1">
        <v>60.8761596679688</v>
      </c>
      <c r="E1463" s="2">
        <v>46296.011087962965</v>
      </c>
      <c r="F1463" s="1">
        <v>-350</v>
      </c>
      <c r="G1463" s="1" t="s">
        <v>0</v>
      </c>
      <c r="H1463" s="1">
        <v>-406.20864868164102</v>
      </c>
    </row>
    <row r="1464" spans="1:8" ht="14.25" customHeight="1" x14ac:dyDescent="0.2">
      <c r="A1464" s="2">
        <v>46296.011122685188</v>
      </c>
      <c r="B1464" s="1">
        <v>-300</v>
      </c>
      <c r="C1464" s="1">
        <v>281.25393676757801</v>
      </c>
      <c r="D1464" s="1">
        <v>61.0818481445313</v>
      </c>
      <c r="E1464" s="2">
        <v>46296.011122685188</v>
      </c>
      <c r="F1464" s="1">
        <v>-300</v>
      </c>
      <c r="G1464" s="1" t="s">
        <v>0</v>
      </c>
      <c r="H1464" s="1">
        <v>-405.95870971679699</v>
      </c>
    </row>
    <row r="1465" spans="1:8" ht="14.25" customHeight="1" x14ac:dyDescent="0.2">
      <c r="A1465" s="2">
        <v>46296.011157407411</v>
      </c>
      <c r="B1465" s="1">
        <v>-250</v>
      </c>
      <c r="C1465" s="1">
        <v>269.65206909179699</v>
      </c>
      <c r="D1465" s="1">
        <v>58.643798828125</v>
      </c>
      <c r="E1465" s="2">
        <v>46296.011157407411</v>
      </c>
      <c r="F1465" s="1">
        <v>-250</v>
      </c>
      <c r="G1465" s="1" t="s">
        <v>0</v>
      </c>
      <c r="H1465" s="1">
        <v>-406.17324829101602</v>
      </c>
    </row>
    <row r="1466" spans="1:8" ht="14.25" customHeight="1" x14ac:dyDescent="0.2">
      <c r="A1466" s="2">
        <v>46296.011192129627</v>
      </c>
      <c r="B1466" s="1">
        <v>-200</v>
      </c>
      <c r="C1466" s="1">
        <v>264.83428955078102</v>
      </c>
      <c r="D1466" s="1">
        <v>57.631378173828097</v>
      </c>
      <c r="E1466" s="2">
        <v>46296.011192129627</v>
      </c>
      <c r="F1466" s="1">
        <v>-200</v>
      </c>
      <c r="G1466" s="1" t="s">
        <v>0</v>
      </c>
      <c r="H1466" s="1">
        <v>-406.28067016601602</v>
      </c>
    </row>
    <row r="1467" spans="1:8" ht="14.25" customHeight="1" x14ac:dyDescent="0.2">
      <c r="A1467" s="2">
        <v>46296.01122685185</v>
      </c>
      <c r="B1467" s="1">
        <v>-150</v>
      </c>
      <c r="C1467" s="1">
        <v>248.49742126464801</v>
      </c>
      <c r="D1467" s="1">
        <v>54.1983032226563</v>
      </c>
      <c r="E1467" s="2">
        <v>46296.01122685185</v>
      </c>
      <c r="F1467" s="1">
        <v>-150</v>
      </c>
      <c r="G1467" s="1" t="s">
        <v>0</v>
      </c>
      <c r="H1467" s="1">
        <v>-405.93948364257801</v>
      </c>
    </row>
    <row r="1468" spans="1:8" ht="14.25" customHeight="1" x14ac:dyDescent="0.2">
      <c r="A1468" s="2">
        <v>46296.011261574073</v>
      </c>
      <c r="B1468" s="1">
        <v>-100</v>
      </c>
      <c r="C1468" s="1">
        <v>235.02653503418</v>
      </c>
      <c r="D1468" s="1">
        <v>51.3674926757813</v>
      </c>
      <c r="E1468" s="2">
        <v>46296.011261574073</v>
      </c>
      <c r="F1468" s="1">
        <v>-100</v>
      </c>
      <c r="G1468" s="1" t="s">
        <v>0</v>
      </c>
      <c r="H1468" s="1">
        <v>-406.06384277343801</v>
      </c>
    </row>
    <row r="1469" spans="1:8" ht="14.25" customHeight="1" x14ac:dyDescent="0.2">
      <c r="A1469" s="2">
        <v>46296.011296296296</v>
      </c>
      <c r="B1469" s="1">
        <v>-50</v>
      </c>
      <c r="C1469" s="1">
        <v>229.770919799805</v>
      </c>
      <c r="D1469" s="1">
        <v>50.2630615234375</v>
      </c>
      <c r="E1469" s="2">
        <v>46296.011296296296</v>
      </c>
      <c r="F1469" s="1">
        <v>-50</v>
      </c>
      <c r="G1469" s="1" t="s">
        <v>0</v>
      </c>
      <c r="H1469" s="1">
        <v>-406.12579345703102</v>
      </c>
    </row>
    <row r="1470" spans="1:8" ht="14.25" customHeight="1" x14ac:dyDescent="0.2">
      <c r="A1470" s="2">
        <v>46296.011331018519</v>
      </c>
      <c r="B1470" s="1">
        <v>0</v>
      </c>
      <c r="C1470" s="1">
        <v>217.45600891113301</v>
      </c>
      <c r="D1470" s="1">
        <v>47.6751708984375</v>
      </c>
      <c r="E1470" s="2">
        <v>46296.011331018519</v>
      </c>
      <c r="F1470" s="1">
        <v>0</v>
      </c>
      <c r="G1470" s="1" t="s">
        <v>0</v>
      </c>
      <c r="H1470" s="1">
        <v>-405.89248657226602</v>
      </c>
    </row>
    <row r="1471" spans="1:8" ht="14.25" customHeight="1" x14ac:dyDescent="0.2">
      <c r="A1471" s="2">
        <v>46296.011365740742</v>
      </c>
      <c r="B1471" s="1">
        <v>50</v>
      </c>
      <c r="C1471" s="1">
        <v>205.07138061523401</v>
      </c>
      <c r="D1471" s="1">
        <v>45.0726318359375</v>
      </c>
      <c r="E1471" s="2">
        <v>46296.011365740742</v>
      </c>
      <c r="F1471" s="1">
        <v>50</v>
      </c>
      <c r="G1471" s="1" t="s">
        <v>0</v>
      </c>
      <c r="H1471" s="1">
        <v>-405.97595214843801</v>
      </c>
    </row>
    <row r="1472" spans="1:8" ht="14.25" customHeight="1" x14ac:dyDescent="0.2">
      <c r="A1472" s="2">
        <v>46296.011400462965</v>
      </c>
      <c r="B1472" s="1">
        <v>100</v>
      </c>
      <c r="C1472" s="1">
        <v>191.61573791503901</v>
      </c>
      <c r="D1472" s="1">
        <v>42.245025634765597</v>
      </c>
      <c r="E1472" s="2">
        <v>46296.011400462965</v>
      </c>
      <c r="F1472" s="1">
        <v>100</v>
      </c>
      <c r="G1472" s="1" t="s">
        <v>0</v>
      </c>
      <c r="H1472" s="1">
        <v>-405.82489013671898</v>
      </c>
    </row>
    <row r="1473" spans="1:8" ht="14.25" customHeight="1" x14ac:dyDescent="0.2">
      <c r="A1473" s="2">
        <v>46296.011435185188</v>
      </c>
      <c r="B1473" s="1">
        <v>150</v>
      </c>
      <c r="C1473" s="1">
        <v>180.66302490234401</v>
      </c>
      <c r="D1473" s="1">
        <v>39.943389892578097</v>
      </c>
      <c r="E1473" s="2">
        <v>46296.011435185188</v>
      </c>
      <c r="F1473" s="1">
        <v>150</v>
      </c>
      <c r="G1473" s="1" t="s">
        <v>0</v>
      </c>
      <c r="H1473" s="1">
        <v>-405.80917358398398</v>
      </c>
    </row>
    <row r="1474" spans="1:8" ht="14.25" customHeight="1" x14ac:dyDescent="0.2">
      <c r="A1474" s="2">
        <v>46296.011469907404</v>
      </c>
      <c r="B1474" s="1">
        <v>200</v>
      </c>
      <c r="C1474" s="1">
        <v>172.49786376953099</v>
      </c>
      <c r="D1474" s="1">
        <v>38.2275390625</v>
      </c>
      <c r="E1474" s="2">
        <v>46296.011469907404</v>
      </c>
      <c r="F1474" s="1">
        <v>200</v>
      </c>
      <c r="G1474" s="1" t="s">
        <v>0</v>
      </c>
      <c r="H1474" s="1">
        <v>-405.91003417968801</v>
      </c>
    </row>
    <row r="1475" spans="1:8" ht="14.25" customHeight="1" x14ac:dyDescent="0.2">
      <c r="A1475" s="2">
        <v>46296.011504629627</v>
      </c>
      <c r="B1475" s="1">
        <v>250</v>
      </c>
      <c r="C1475" s="1">
        <v>161.82106018066401</v>
      </c>
      <c r="D1475" s="1">
        <v>35.98388671875</v>
      </c>
      <c r="E1475" s="2">
        <v>46296.011504629627</v>
      </c>
      <c r="F1475" s="1">
        <v>250</v>
      </c>
      <c r="G1475" s="1" t="s">
        <v>0</v>
      </c>
      <c r="H1475" s="1">
        <v>-405.91903686523398</v>
      </c>
    </row>
    <row r="1476" spans="1:8" ht="14.25" customHeight="1" x14ac:dyDescent="0.2">
      <c r="A1476" s="2">
        <v>46296.01153935185</v>
      </c>
      <c r="B1476" s="1">
        <v>300</v>
      </c>
      <c r="C1476" s="1">
        <v>153.02127075195301</v>
      </c>
      <c r="D1476" s="1">
        <v>34.134674072265597</v>
      </c>
      <c r="E1476" s="2">
        <v>46296.01153935185</v>
      </c>
      <c r="F1476" s="1">
        <v>300</v>
      </c>
      <c r="G1476" s="1" t="s">
        <v>0</v>
      </c>
      <c r="H1476" s="1">
        <v>-406.07727050781301</v>
      </c>
    </row>
    <row r="1477" spans="1:8" ht="14.25" customHeight="1" x14ac:dyDescent="0.2">
      <c r="A1477" s="2">
        <v>46296.011574074073</v>
      </c>
      <c r="B1477" s="1">
        <v>350</v>
      </c>
      <c r="C1477" s="1">
        <v>145.47113037109401</v>
      </c>
      <c r="D1477" s="1">
        <v>32.548065185546903</v>
      </c>
      <c r="E1477" s="2">
        <v>46296.011574074073</v>
      </c>
      <c r="F1477" s="1">
        <v>350</v>
      </c>
      <c r="G1477" s="1" t="s">
        <v>0</v>
      </c>
      <c r="H1477" s="1">
        <v>-406.13220214843801</v>
      </c>
    </row>
    <row r="1478" spans="1:8" ht="14.25" customHeight="1" x14ac:dyDescent="0.2">
      <c r="A1478" s="2">
        <v>46296.011608796296</v>
      </c>
      <c r="B1478" s="1">
        <v>400</v>
      </c>
      <c r="C1478" s="1">
        <v>137.11135864257801</v>
      </c>
      <c r="D1478" s="1">
        <v>30.7913208007813</v>
      </c>
      <c r="E1478" s="2">
        <v>46296.011608796296</v>
      </c>
      <c r="F1478" s="1">
        <v>400</v>
      </c>
      <c r="G1478" s="1" t="s">
        <v>0</v>
      </c>
      <c r="H1478" s="1">
        <v>-406.00769042968801</v>
      </c>
    </row>
    <row r="1479" spans="1:8" ht="14.25" customHeight="1" x14ac:dyDescent="0.2">
      <c r="A1479" s="2">
        <v>46296.011643518519</v>
      </c>
      <c r="B1479" s="1">
        <v>450</v>
      </c>
      <c r="C1479" s="1">
        <v>132.43807983398401</v>
      </c>
      <c r="D1479" s="1">
        <v>29.8092651367188</v>
      </c>
      <c r="E1479" s="2">
        <v>46296.011643518519</v>
      </c>
      <c r="F1479" s="1">
        <v>450</v>
      </c>
      <c r="G1479" s="1" t="s">
        <v>0</v>
      </c>
      <c r="H1479" s="1">
        <v>-405.91552734375</v>
      </c>
    </row>
    <row r="1480" spans="1:8" ht="14.25" customHeight="1" x14ac:dyDescent="0.2">
      <c r="A1480" s="2">
        <v>46296.011678240742</v>
      </c>
      <c r="B1480" s="1">
        <v>500</v>
      </c>
      <c r="C1480" s="1">
        <v>129.00065612793</v>
      </c>
      <c r="D1480" s="1">
        <v>29.0869140625</v>
      </c>
      <c r="E1480" s="2">
        <v>46296.011678240742</v>
      </c>
      <c r="F1480" s="1">
        <v>500</v>
      </c>
      <c r="G1480" s="1" t="s">
        <v>0</v>
      </c>
      <c r="H1480" s="1">
        <v>-405.85205078125</v>
      </c>
    </row>
    <row r="1481" spans="1:8" ht="14.25" customHeight="1" x14ac:dyDescent="0.2">
      <c r="A1481" s="2">
        <v>46296.011712962965</v>
      </c>
      <c r="B1481" s="1">
        <v>550</v>
      </c>
      <c r="C1481" s="1">
        <v>116.107749938965</v>
      </c>
      <c r="D1481" s="1">
        <v>26.3775634765625</v>
      </c>
      <c r="E1481" s="2">
        <v>46296.011712962965</v>
      </c>
      <c r="F1481" s="1">
        <v>550</v>
      </c>
      <c r="G1481" s="1" t="s">
        <v>0</v>
      </c>
      <c r="H1481" s="1">
        <v>-405.69412231445301</v>
      </c>
    </row>
    <row r="1482" spans="1:8" ht="14.25" customHeight="1" x14ac:dyDescent="0.2">
      <c r="A1482" s="2">
        <v>46296.011747685188</v>
      </c>
      <c r="B1482" s="1">
        <v>600</v>
      </c>
      <c r="C1482" s="1">
        <v>108.094345092773</v>
      </c>
      <c r="D1482" s="1">
        <v>24.693603515625</v>
      </c>
      <c r="E1482" s="2">
        <v>46296.011747685188</v>
      </c>
      <c r="F1482" s="1">
        <v>600</v>
      </c>
      <c r="G1482" s="1" t="s">
        <v>0</v>
      </c>
      <c r="H1482" s="1">
        <v>-405.66131591796898</v>
      </c>
    </row>
    <row r="1483" spans="1:8" ht="14.25" customHeight="1" x14ac:dyDescent="0.2">
      <c r="A1483" s="2">
        <v>46296.011782407404</v>
      </c>
      <c r="B1483" s="1">
        <v>650</v>
      </c>
      <c r="C1483" s="1">
        <v>101.519371032715</v>
      </c>
      <c r="D1483" s="1">
        <v>23.3119201660156</v>
      </c>
      <c r="E1483" s="2">
        <v>46296.011782407404</v>
      </c>
      <c r="F1483" s="1">
        <v>650</v>
      </c>
      <c r="G1483" s="1" t="s">
        <v>0</v>
      </c>
      <c r="H1483" s="1">
        <v>-406.02523803710898</v>
      </c>
    </row>
    <row r="1484" spans="1:8" ht="14.25" customHeight="1" x14ac:dyDescent="0.2">
      <c r="A1484" s="2">
        <v>46296.011817129627</v>
      </c>
      <c r="B1484" s="1">
        <v>700</v>
      </c>
      <c r="C1484" s="1">
        <v>93.252548217773395</v>
      </c>
      <c r="D1484" s="1">
        <v>21.57470703125</v>
      </c>
      <c r="E1484" s="2">
        <v>46296.011817129627</v>
      </c>
      <c r="F1484" s="1">
        <v>700</v>
      </c>
      <c r="G1484" s="1" t="s">
        <v>0</v>
      </c>
      <c r="H1484" s="1">
        <v>-406.06277465820301</v>
      </c>
    </row>
    <row r="1485" spans="1:8" ht="14.25" customHeight="1" x14ac:dyDescent="0.2">
      <c r="A1485" s="2">
        <v>46296.01185185185</v>
      </c>
      <c r="B1485" s="1">
        <v>750</v>
      </c>
      <c r="C1485" s="1">
        <v>88.444938659667997</v>
      </c>
      <c r="D1485" s="1">
        <v>20.5644226074219</v>
      </c>
      <c r="E1485" s="2">
        <v>46296.01185185185</v>
      </c>
      <c r="F1485" s="1">
        <v>750</v>
      </c>
      <c r="G1485" s="1" t="s">
        <v>0</v>
      </c>
      <c r="H1485" s="1">
        <v>-405.85525512695301</v>
      </c>
    </row>
    <row r="1486" spans="1:8" ht="14.25" customHeight="1" x14ac:dyDescent="0.2">
      <c r="A1486" s="2">
        <v>46296.011886574073</v>
      </c>
      <c r="B1486" s="1">
        <v>800</v>
      </c>
      <c r="C1486" s="1">
        <v>83.389732360839801</v>
      </c>
      <c r="D1486" s="1">
        <v>19.5021057128906</v>
      </c>
      <c r="E1486" s="2">
        <v>46296.011886574073</v>
      </c>
      <c r="F1486" s="1">
        <v>800</v>
      </c>
      <c r="G1486" s="1" t="s">
        <v>0</v>
      </c>
      <c r="H1486" s="1">
        <v>-405.99105834960898</v>
      </c>
    </row>
    <row r="1487" spans="1:8" ht="14.25" customHeight="1" x14ac:dyDescent="0.2">
      <c r="A1487" s="2">
        <v>46296.011921296296</v>
      </c>
      <c r="B1487" s="1">
        <v>850</v>
      </c>
      <c r="C1487" s="1">
        <v>72.430473327636705</v>
      </c>
      <c r="D1487" s="1">
        <v>17.1990966796875</v>
      </c>
      <c r="E1487" s="2">
        <v>46296.011921296296</v>
      </c>
      <c r="F1487" s="1">
        <v>850</v>
      </c>
      <c r="G1487" s="1" t="s">
        <v>0</v>
      </c>
      <c r="H1487" s="1">
        <v>-405.62820434570301</v>
      </c>
    </row>
    <row r="1488" spans="1:8" ht="14.25" customHeight="1" x14ac:dyDescent="0.2">
      <c r="A1488" s="2">
        <v>46296.011956018519</v>
      </c>
      <c r="B1488" s="1">
        <v>900</v>
      </c>
      <c r="C1488" s="1">
        <v>64.519447326660199</v>
      </c>
      <c r="D1488" s="1">
        <v>15.5366516113281</v>
      </c>
      <c r="E1488" s="2">
        <v>46296.011956018519</v>
      </c>
      <c r="F1488" s="1">
        <v>900</v>
      </c>
      <c r="G1488" s="1" t="s">
        <v>0</v>
      </c>
      <c r="H1488" s="1">
        <v>-405.88424682617199</v>
      </c>
    </row>
    <row r="1489" spans="1:8" ht="14.25" customHeight="1" x14ac:dyDescent="0.2">
      <c r="A1489" s="2">
        <v>46296.011990740742</v>
      </c>
      <c r="B1489" s="1">
        <v>950</v>
      </c>
      <c r="C1489" s="1">
        <v>57.184230804443402</v>
      </c>
      <c r="D1489" s="1">
        <v>13.9952087402344</v>
      </c>
      <c r="E1489" s="2">
        <v>46296.011990740742</v>
      </c>
      <c r="F1489" s="1">
        <v>950</v>
      </c>
      <c r="G1489" s="1" t="s">
        <v>0</v>
      </c>
      <c r="H1489" s="1">
        <v>-406.32797241210898</v>
      </c>
    </row>
    <row r="1490" spans="1:8" ht="14.25" customHeight="1" x14ac:dyDescent="0.2">
      <c r="A1490" s="2">
        <v>46296.012025462966</v>
      </c>
      <c r="B1490" s="1">
        <v>1000</v>
      </c>
      <c r="C1490" s="1">
        <v>50.379081726074197</v>
      </c>
      <c r="D1490" s="1">
        <v>12.5651550292969</v>
      </c>
      <c r="E1490" s="2">
        <v>46296.012025462966</v>
      </c>
      <c r="F1490" s="1">
        <v>1000</v>
      </c>
      <c r="G1490" s="1" t="s">
        <v>0</v>
      </c>
      <c r="H1490" s="1">
        <v>-405.58364868164102</v>
      </c>
    </row>
    <row r="1491" spans="1:8" ht="14.25" customHeight="1" x14ac:dyDescent="0.2">
      <c r="A1491" s="2">
        <v>46296.012060185189</v>
      </c>
      <c r="B1491" s="1">
        <v>1050</v>
      </c>
      <c r="C1491" s="1">
        <v>41.174842834472699</v>
      </c>
      <c r="D1491" s="1">
        <v>10.6309509277344</v>
      </c>
      <c r="E1491" s="2">
        <v>46296.012060185189</v>
      </c>
      <c r="F1491" s="1">
        <v>1050</v>
      </c>
      <c r="G1491" s="1" t="s">
        <v>0</v>
      </c>
      <c r="H1491" s="1">
        <v>-405.99716186523398</v>
      </c>
    </row>
    <row r="1492" spans="1:8" ht="14.25" customHeight="1" x14ac:dyDescent="0.2">
      <c r="A1492" s="2">
        <v>46296.012094907404</v>
      </c>
      <c r="B1492" s="1">
        <v>1100</v>
      </c>
      <c r="C1492" s="1">
        <v>35.559070587158203</v>
      </c>
      <c r="D1492" s="1">
        <v>9.4508361816406303</v>
      </c>
      <c r="E1492" s="2">
        <v>46296.012094907404</v>
      </c>
      <c r="F1492" s="1">
        <v>1100</v>
      </c>
      <c r="G1492" s="1" t="s">
        <v>0</v>
      </c>
      <c r="H1492" s="1">
        <v>-405.71380615234398</v>
      </c>
    </row>
    <row r="1493" spans="1:8" ht="14.25" customHeight="1" x14ac:dyDescent="0.2">
      <c r="A1493" s="2">
        <v>46296.012129629627</v>
      </c>
      <c r="B1493" s="1">
        <v>1150</v>
      </c>
      <c r="C1493" s="1">
        <v>29.517065048217798</v>
      </c>
      <c r="D1493" s="1">
        <v>8.18115234375</v>
      </c>
      <c r="E1493" s="2">
        <v>46296.012129629627</v>
      </c>
      <c r="F1493" s="1">
        <v>1150</v>
      </c>
      <c r="G1493" s="1" t="s">
        <v>0</v>
      </c>
      <c r="H1493" s="1">
        <v>-406.55242919921898</v>
      </c>
    </row>
    <row r="1494" spans="1:8" ht="14.25" customHeight="1" x14ac:dyDescent="0.2">
      <c r="A1494" s="2">
        <v>46296.012164351851</v>
      </c>
      <c r="B1494" s="1">
        <v>1200</v>
      </c>
      <c r="C1494" s="1">
        <v>25.118259429931602</v>
      </c>
      <c r="D1494" s="1">
        <v>7.25677490234375</v>
      </c>
      <c r="E1494" s="2">
        <v>46296.012164351851</v>
      </c>
      <c r="F1494" s="1">
        <v>1200</v>
      </c>
      <c r="G1494" s="1" t="s">
        <v>0</v>
      </c>
      <c r="H1494" s="1">
        <v>-405.47683715820301</v>
      </c>
    </row>
    <row r="1495" spans="1:8" ht="14.25" customHeight="1" x14ac:dyDescent="0.2">
      <c r="A1495" s="2">
        <v>46296.012199074074</v>
      </c>
      <c r="B1495" s="1">
        <v>1250</v>
      </c>
      <c r="C1495" s="1">
        <v>21.4491996765137</v>
      </c>
      <c r="D1495" s="1">
        <v>6.4857482910156303</v>
      </c>
      <c r="E1495" s="2">
        <v>46296.012199074074</v>
      </c>
      <c r="F1495" s="1">
        <v>1250</v>
      </c>
      <c r="G1495" s="1" t="s">
        <v>0</v>
      </c>
      <c r="H1495" s="1">
        <v>-406.15478515625</v>
      </c>
    </row>
    <row r="1496" spans="1:8" ht="14.25" customHeight="1" x14ac:dyDescent="0.2">
      <c r="A1496" s="2">
        <v>46296.012233796297</v>
      </c>
      <c r="B1496" s="1">
        <v>1300</v>
      </c>
      <c r="C1496" s="1">
        <v>18.458332061767599</v>
      </c>
      <c r="D1496" s="1">
        <v>5.85723876953125</v>
      </c>
      <c r="E1496" s="2">
        <v>46296.012233796297</v>
      </c>
      <c r="F1496" s="1">
        <v>1300</v>
      </c>
      <c r="G1496" s="1" t="s">
        <v>0</v>
      </c>
      <c r="H1496" s="1">
        <v>-406.38168334960898</v>
      </c>
    </row>
    <row r="1497" spans="1:8" ht="14.25" customHeight="1" x14ac:dyDescent="0.2">
      <c r="A1497" s="2">
        <v>46296.01226851852</v>
      </c>
      <c r="B1497" s="1">
        <v>1350</v>
      </c>
      <c r="C1497" s="1">
        <v>15.097144126892101</v>
      </c>
      <c r="D1497" s="1">
        <v>5.1509094238281303</v>
      </c>
      <c r="E1497" s="2">
        <v>46296.01226851852</v>
      </c>
      <c r="F1497" s="1">
        <v>1350</v>
      </c>
      <c r="G1497" s="1" t="s">
        <v>0</v>
      </c>
      <c r="H1497" s="1">
        <v>-406.12197875976602</v>
      </c>
    </row>
    <row r="1498" spans="1:8" ht="14.25" customHeight="1" x14ac:dyDescent="0.2">
      <c r="A1498" s="2">
        <v>46296.012303240743</v>
      </c>
      <c r="B1498" s="1">
        <v>1400</v>
      </c>
      <c r="C1498" s="1">
        <v>12.1287851333618</v>
      </c>
      <c r="D1498" s="1">
        <v>4.5271301269531303</v>
      </c>
      <c r="E1498" s="2">
        <v>46296.012303240743</v>
      </c>
      <c r="F1498" s="1">
        <v>1400</v>
      </c>
      <c r="G1498" s="1" t="s">
        <v>0</v>
      </c>
      <c r="H1498" s="1">
        <v>-406.21063232421898</v>
      </c>
    </row>
    <row r="1499" spans="1:8" ht="14.25" customHeight="1" x14ac:dyDescent="0.2">
      <c r="A1499" s="2">
        <v>46296.012337962966</v>
      </c>
      <c r="B1499" s="1">
        <v>1450</v>
      </c>
      <c r="C1499" s="1">
        <v>9.8313570022583008</v>
      </c>
      <c r="D1499" s="1">
        <v>4.0443420410156303</v>
      </c>
      <c r="E1499" s="2">
        <v>46296.012337962966</v>
      </c>
      <c r="F1499" s="1">
        <v>1450</v>
      </c>
      <c r="G1499" s="1" t="s">
        <v>0</v>
      </c>
      <c r="H1499" s="1">
        <v>-406.02340698242199</v>
      </c>
    </row>
    <row r="1500" spans="1:8" ht="14.25" customHeight="1" x14ac:dyDescent="0.2">
      <c r="A1500" s="2">
        <v>46296.012372685182</v>
      </c>
      <c r="B1500" s="1">
        <v>1500</v>
      </c>
      <c r="C1500" s="1">
        <v>7.4192028045654297</v>
      </c>
      <c r="D1500" s="1">
        <v>3.5374450683593799</v>
      </c>
      <c r="E1500" s="2">
        <v>46296.012372685182</v>
      </c>
      <c r="F1500" s="1">
        <v>1500</v>
      </c>
      <c r="G1500" s="1" t="s">
        <v>0</v>
      </c>
      <c r="H1500" s="1">
        <v>-405.83114624023398</v>
      </c>
    </row>
    <row r="1501" spans="1:8" ht="14.25" customHeight="1" x14ac:dyDescent="0.2">
      <c r="A1501" s="2">
        <v>46296.012407407405</v>
      </c>
      <c r="B1501" s="1">
        <v>1550</v>
      </c>
      <c r="C1501" s="1">
        <v>4.8531117439270002</v>
      </c>
      <c r="D1501" s="1">
        <v>2.9981994628906299</v>
      </c>
      <c r="E1501" s="2">
        <v>46296.012407407405</v>
      </c>
      <c r="F1501" s="1">
        <v>1550</v>
      </c>
      <c r="G1501" s="1" t="s">
        <v>0</v>
      </c>
      <c r="H1501" s="1">
        <v>-406.14776611328102</v>
      </c>
    </row>
    <row r="1502" spans="1:8" ht="14.25" customHeight="1" x14ac:dyDescent="0.2">
      <c r="A1502" s="2">
        <v>46296.012442129628</v>
      </c>
      <c r="B1502" s="1">
        <v>1600</v>
      </c>
      <c r="C1502" s="1">
        <v>3.5824100971221902</v>
      </c>
      <c r="D1502" s="1">
        <v>2.7311706542968799</v>
      </c>
      <c r="E1502" s="2">
        <v>46296.012442129628</v>
      </c>
      <c r="F1502" s="1">
        <v>1600</v>
      </c>
      <c r="G1502" s="1" t="s">
        <v>0</v>
      </c>
      <c r="H1502" s="1">
        <v>-406.08596801757801</v>
      </c>
    </row>
    <row r="1503" spans="1:8" ht="14.25" customHeight="1" x14ac:dyDescent="0.2">
      <c r="A1503" s="2">
        <v>46296.012476851851</v>
      </c>
      <c r="B1503" s="1">
        <v>1650</v>
      </c>
      <c r="C1503" s="1">
        <v>2.2412753105163601</v>
      </c>
      <c r="D1503" s="1">
        <v>2.4493408203125</v>
      </c>
      <c r="E1503" s="2">
        <v>46296.012476851851</v>
      </c>
      <c r="F1503" s="1">
        <v>1650</v>
      </c>
      <c r="G1503" s="1" t="s">
        <v>0</v>
      </c>
      <c r="H1503" s="1">
        <v>-405.96237182617199</v>
      </c>
    </row>
    <row r="1504" spans="1:8" ht="14.25" customHeight="1" x14ac:dyDescent="0.2">
      <c r="A1504" s="2">
        <v>46296.012511574074</v>
      </c>
      <c r="B1504" s="1">
        <v>1700</v>
      </c>
      <c r="C1504" s="1">
        <v>1.4280263185501101</v>
      </c>
      <c r="D1504" s="1">
        <v>2.2784423828125</v>
      </c>
      <c r="E1504" s="2">
        <v>46296.012511574074</v>
      </c>
      <c r="F1504" s="1">
        <v>1700</v>
      </c>
      <c r="G1504" s="1" t="s">
        <v>0</v>
      </c>
      <c r="H1504" s="1">
        <v>-404.26605224609398</v>
      </c>
    </row>
    <row r="1505" spans="1:8" ht="14.25" customHeight="1" x14ac:dyDescent="0.2">
      <c r="A1505" s="2">
        <v>46296.012546296297</v>
      </c>
      <c r="B1505" s="1">
        <v>1750</v>
      </c>
      <c r="C1505" s="1">
        <v>0.79921054840087902</v>
      </c>
      <c r="D1505" s="1">
        <v>2.14630126953125</v>
      </c>
      <c r="E1505" s="2">
        <v>46296.012546296297</v>
      </c>
      <c r="F1505" s="1">
        <v>1750</v>
      </c>
      <c r="G1505" s="1" t="s">
        <v>0</v>
      </c>
      <c r="H1505" s="1">
        <v>-406.93954467773398</v>
      </c>
    </row>
    <row r="1506" spans="1:8" ht="14.25" customHeight="1" x14ac:dyDescent="0.2">
      <c r="A1506" s="2">
        <v>46296.01258101852</v>
      </c>
      <c r="B1506" s="1">
        <v>1800</v>
      </c>
      <c r="C1506" s="1">
        <v>0.26188534498214699</v>
      </c>
      <c r="D1506" s="1">
        <v>2.03338623046875</v>
      </c>
      <c r="E1506" s="2">
        <v>46296.01258101852</v>
      </c>
      <c r="F1506" s="1">
        <v>1800</v>
      </c>
      <c r="G1506" s="1" t="s">
        <v>0</v>
      </c>
      <c r="H1506" s="1">
        <v>-408.71688842773398</v>
      </c>
    </row>
    <row r="1507" spans="1:8" ht="14.25" customHeight="1" x14ac:dyDescent="0.2">
      <c r="A1507" s="2">
        <v>46296.012615740743</v>
      </c>
      <c r="B1507" s="1">
        <v>1850</v>
      </c>
      <c r="C1507" s="1">
        <v>6.0751445591449703E-2</v>
      </c>
      <c r="D1507" s="1">
        <v>1.9911193847656301</v>
      </c>
      <c r="E1507" s="2">
        <v>46296.012615740743</v>
      </c>
      <c r="F1507" s="1">
        <v>1850</v>
      </c>
      <c r="G1507" s="1" t="s">
        <v>0</v>
      </c>
      <c r="H1507" s="1">
        <v>-402.130126953125</v>
      </c>
    </row>
    <row r="1508" spans="1:8" ht="14.25" customHeight="1" x14ac:dyDescent="0.2">
      <c r="A1508" s="2">
        <v>46296.012650462966</v>
      </c>
      <c r="B1508" s="1">
        <v>1900</v>
      </c>
      <c r="C1508" s="1">
        <v>-0.142560794949532</v>
      </c>
      <c r="D1508" s="1">
        <v>1.9483947753906301</v>
      </c>
      <c r="E1508" s="2">
        <v>46296.012650462966</v>
      </c>
      <c r="F1508" s="1">
        <v>1900</v>
      </c>
      <c r="G1508" s="1" t="s">
        <v>0</v>
      </c>
      <c r="H1508" s="1">
        <v>-405.904541015625</v>
      </c>
    </row>
    <row r="1509" spans="1:8" ht="14.25" customHeight="1" x14ac:dyDescent="0.2">
      <c r="A1509" s="2">
        <v>46296.012685185182</v>
      </c>
      <c r="B1509" s="1">
        <v>1950</v>
      </c>
      <c r="C1509" s="1">
        <v>-0.31973290443420399</v>
      </c>
      <c r="D1509" s="1">
        <v>1.9111633300781301</v>
      </c>
      <c r="E1509" s="2">
        <v>46296.012685185182</v>
      </c>
      <c r="F1509" s="1">
        <v>1950</v>
      </c>
      <c r="G1509" s="1" t="s">
        <v>0</v>
      </c>
      <c r="H1509" s="1">
        <v>-411.827392578125</v>
      </c>
    </row>
    <row r="1510" spans="1:8" ht="14.25" customHeight="1" x14ac:dyDescent="0.2">
      <c r="A1510" s="2">
        <v>46296.012719907405</v>
      </c>
      <c r="B1510" s="1">
        <v>2000</v>
      </c>
      <c r="C1510" s="1">
        <v>-0.21517232060432401</v>
      </c>
      <c r="D1510" s="1">
        <v>1.9331359863281301</v>
      </c>
      <c r="E1510" s="2">
        <v>46296.012719907405</v>
      </c>
      <c r="F1510" s="1">
        <v>2000</v>
      </c>
      <c r="G1510" s="1" t="s">
        <v>0</v>
      </c>
      <c r="H1510" s="1">
        <v>-408.22952270507801</v>
      </c>
    </row>
    <row r="1511" spans="1:8" ht="14.25" customHeight="1" x14ac:dyDescent="0.2">
      <c r="A1511" s="2">
        <v>46296.012754629628</v>
      </c>
      <c r="B1511" s="1">
        <v>2050</v>
      </c>
      <c r="C1511" s="1">
        <v>-0.31610232591629001</v>
      </c>
      <c r="D1511" s="1">
        <v>1.91192626953125</v>
      </c>
      <c r="E1511" s="2">
        <v>46296.012754629628</v>
      </c>
      <c r="F1511" s="1">
        <v>2050</v>
      </c>
      <c r="G1511" s="1" t="s">
        <v>0</v>
      </c>
      <c r="H1511" s="1">
        <v>-406.18270874023398</v>
      </c>
    </row>
    <row r="1512" spans="1:8" ht="14.25" customHeight="1" x14ac:dyDescent="0.2">
      <c r="A1512" s="2">
        <v>46296.012789351851</v>
      </c>
      <c r="B1512" s="1">
        <v>2100</v>
      </c>
      <c r="C1512" s="1">
        <v>-0.37201318144798301</v>
      </c>
      <c r="D1512" s="1">
        <v>1.9001770019531301</v>
      </c>
      <c r="E1512" s="2">
        <v>46296.012789351851</v>
      </c>
      <c r="F1512" s="1">
        <v>2100</v>
      </c>
      <c r="G1512" s="1" t="s">
        <v>0</v>
      </c>
      <c r="H1512" s="1">
        <v>-407.11242675781301</v>
      </c>
    </row>
    <row r="1513" spans="1:8" ht="14.25" customHeight="1" x14ac:dyDescent="0.2">
      <c r="A1513" s="2">
        <v>46296.012824074074</v>
      </c>
      <c r="B1513" s="1">
        <v>2150</v>
      </c>
      <c r="C1513" s="1">
        <v>-0.417032331228256</v>
      </c>
      <c r="D1513" s="1">
        <v>1.8907165527343801</v>
      </c>
      <c r="E1513" s="2">
        <v>46296.012824074074</v>
      </c>
      <c r="F1513" s="1">
        <v>2150</v>
      </c>
      <c r="G1513" s="1" t="s">
        <v>0</v>
      </c>
      <c r="H1513" s="1">
        <v>-406.15341186523398</v>
      </c>
    </row>
    <row r="1514" spans="1:8" ht="14.25" customHeight="1" x14ac:dyDescent="0.2">
      <c r="A1514" s="2">
        <v>46296.012858796297</v>
      </c>
      <c r="B1514" s="1">
        <v>2200</v>
      </c>
      <c r="C1514" s="1">
        <v>-0.370560973882675</v>
      </c>
      <c r="D1514" s="1">
        <v>1.9004821777343801</v>
      </c>
      <c r="E1514" s="2">
        <v>46296.012858796297</v>
      </c>
      <c r="F1514" s="1">
        <v>2200</v>
      </c>
      <c r="G1514" s="1" t="s">
        <v>0</v>
      </c>
      <c r="H1514" s="1">
        <v>-406.32980346679699</v>
      </c>
    </row>
    <row r="1515" spans="1:8" ht="14.25" customHeight="1" x14ac:dyDescent="0.2">
      <c r="A1515" s="2">
        <v>46296.01289351852</v>
      </c>
      <c r="B1515" s="1">
        <v>2250</v>
      </c>
      <c r="C1515" s="1">
        <v>-0.36547815799713101</v>
      </c>
      <c r="D1515" s="1">
        <v>1.90155029296875</v>
      </c>
      <c r="E1515" s="2">
        <v>46296.01289351852</v>
      </c>
      <c r="F1515" s="1">
        <v>2250</v>
      </c>
      <c r="G1515" s="1" t="s">
        <v>0</v>
      </c>
      <c r="H1515" s="1">
        <v>-406.37023925781301</v>
      </c>
    </row>
    <row r="1516" spans="1:8" ht="14.25" customHeight="1" x14ac:dyDescent="0.2">
      <c r="A1516" s="2">
        <v>46296.012928240743</v>
      </c>
      <c r="B1516" s="1">
        <v>2300</v>
      </c>
      <c r="C1516" s="1">
        <v>3.6789644509553902E-2</v>
      </c>
      <c r="D1516" s="1">
        <v>1.986083984375</v>
      </c>
      <c r="E1516" s="2">
        <v>46296.012928240743</v>
      </c>
      <c r="F1516" s="1">
        <v>2300</v>
      </c>
      <c r="G1516" s="1" t="s">
        <v>0</v>
      </c>
      <c r="H1516" s="1">
        <v>-406.60308837890602</v>
      </c>
    </row>
    <row r="1517" spans="1:8" ht="14.25" customHeight="1" x14ac:dyDescent="0.2">
      <c r="A1517" s="2">
        <v>46296.012962962966</v>
      </c>
      <c r="B1517" s="1">
        <v>2350</v>
      </c>
      <c r="C1517" s="1">
        <v>-0.42574572563171398</v>
      </c>
      <c r="D1517" s="1">
        <v>1.8888854980468801</v>
      </c>
      <c r="E1517" s="2">
        <v>46296.012962962966</v>
      </c>
      <c r="F1517" s="1">
        <v>2350</v>
      </c>
      <c r="G1517" s="1" t="s">
        <v>0</v>
      </c>
      <c r="H1517" s="1">
        <v>-406.72515869140602</v>
      </c>
    </row>
    <row r="1518" spans="1:8" ht="14.25" customHeight="1" x14ac:dyDescent="0.2">
      <c r="A1518" s="2">
        <v>46296.012997685182</v>
      </c>
      <c r="B1518" s="1">
        <v>2400</v>
      </c>
      <c r="C1518" s="1">
        <v>-0.391618311405182</v>
      </c>
      <c r="D1518" s="1">
        <v>1.89605712890625</v>
      </c>
      <c r="E1518" s="2">
        <v>46296.012997685182</v>
      </c>
      <c r="F1518" s="1">
        <v>2400</v>
      </c>
      <c r="G1518" s="1" t="s">
        <v>0</v>
      </c>
      <c r="H1518" s="1">
        <v>-406.79718017578102</v>
      </c>
    </row>
    <row r="1519" spans="1:8" ht="14.25" customHeight="1" x14ac:dyDescent="0.2">
      <c r="A1519" s="2">
        <v>46296.013032407405</v>
      </c>
      <c r="B1519" s="1">
        <v>2450</v>
      </c>
      <c r="C1519" s="1">
        <v>-0.46858650445938099</v>
      </c>
      <c r="D1519" s="1">
        <v>1.8798828125</v>
      </c>
      <c r="E1519" s="2">
        <v>46296.013032407405</v>
      </c>
      <c r="F1519" s="1">
        <v>2450</v>
      </c>
      <c r="G1519" s="1" t="s">
        <v>0</v>
      </c>
      <c r="H1519" s="1">
        <v>-406.71188354492199</v>
      </c>
    </row>
    <row r="1520" spans="1:8" ht="14.25" customHeight="1" x14ac:dyDescent="0.2">
      <c r="A1520" s="2">
        <v>46296.013067129628</v>
      </c>
      <c r="B1520" s="1">
        <v>2500</v>
      </c>
      <c r="C1520" s="1">
        <v>-0.49254831671714799</v>
      </c>
      <c r="D1520" s="1">
        <v>1.8748474121093801</v>
      </c>
      <c r="E1520" s="2">
        <v>46296.013067129628</v>
      </c>
      <c r="F1520" s="1">
        <v>2500</v>
      </c>
      <c r="G1520" s="1" t="s">
        <v>0</v>
      </c>
      <c r="H1520" s="1">
        <v>-406.54739379882801</v>
      </c>
    </row>
    <row r="1521" spans="1:8" ht="14.25" customHeight="1" x14ac:dyDescent="0.2">
      <c r="A1521" s="1"/>
      <c r="B1521" s="1"/>
      <c r="C1521" s="1"/>
      <c r="D1521" s="1"/>
      <c r="E1521" s="1"/>
      <c r="F1521" s="1"/>
      <c r="G1521" s="1"/>
      <c r="H1521" s="1"/>
    </row>
    <row r="1522" spans="1:8" ht="14.25" customHeight="1" x14ac:dyDescent="0.2">
      <c r="A1522" s="1"/>
      <c r="B1522" s="1"/>
      <c r="C1522" s="1"/>
      <c r="D1522" s="1"/>
      <c r="E1522" s="1"/>
      <c r="F1522" s="1"/>
      <c r="G1522" s="1"/>
      <c r="H15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719-047F-466B-9CC0-4429EC7EC1B4}">
  <dimension ref="A1:L170"/>
  <sheetViews>
    <sheetView tabSelected="1" zoomScale="115" zoomScaleNormal="115" workbookViewId="0">
      <pane ySplit="8070" topLeftCell="A25"/>
      <selection activeCell="E16" sqref="E16:L16"/>
      <selection pane="bottomLeft" activeCell="M39" sqref="M39"/>
    </sheetView>
  </sheetViews>
  <sheetFormatPr defaultRowHeight="12.75" x14ac:dyDescent="0.2"/>
  <cols>
    <col min="3" max="3" width="18.140625" bestFit="1" customWidth="1"/>
    <col min="9" max="9" width="18.140625" bestFit="1" customWidth="1"/>
  </cols>
  <sheetData>
    <row r="1" spans="1:12" x14ac:dyDescent="0.2">
      <c r="A1" t="s">
        <v>7</v>
      </c>
      <c r="B1" t="str">
        <f ca="1">RIGHT(CELL("filename",V8),LEN(CELL("filename",V8))-FIND("]",CELL("filename",V8)))</f>
        <v>sæt1</v>
      </c>
    </row>
    <row r="2" spans="1:12" x14ac:dyDescent="0.2">
      <c r="A2" t="s">
        <v>8</v>
      </c>
    </row>
    <row r="3" spans="1:12" x14ac:dyDescent="0.2">
      <c r="A3" t="s">
        <v>9</v>
      </c>
    </row>
    <row r="4" spans="1:12" x14ac:dyDescent="0.2">
      <c r="A4" t="s">
        <v>10</v>
      </c>
      <c r="B4" t="str">
        <f ca="1">IF(B2&lt;&gt;"",B2&amp;", ", "")&amp;B1&amp;IF(B3&lt;&gt;"",", "&amp;B3, "")</f>
        <v>sæt1</v>
      </c>
    </row>
    <row r="6" spans="1:12" x14ac:dyDescent="0.2">
      <c r="B6" t="s">
        <v>11</v>
      </c>
      <c r="C6" t="s">
        <v>27</v>
      </c>
      <c r="D6" t="str">
        <f>C6</f>
        <v>Oureprofiles</v>
      </c>
      <c r="E6" t="str">
        <f t="shared" ref="E6:F8" si="0">D6</f>
        <v>Oureprofiles</v>
      </c>
      <c r="F6" t="str">
        <f t="shared" si="0"/>
        <v>Oureprofiles</v>
      </c>
      <c r="H6" t="s">
        <v>11</v>
      </c>
      <c r="I6" t="s">
        <v>27</v>
      </c>
      <c r="J6" t="str">
        <f t="shared" ref="J6:L8" si="1">I6</f>
        <v>Oureprofiles</v>
      </c>
      <c r="K6" t="str">
        <f t="shared" si="1"/>
        <v>Oureprofiles</v>
      </c>
      <c r="L6" t="str">
        <f t="shared" si="1"/>
        <v>Oureprofiles</v>
      </c>
    </row>
    <row r="7" spans="1:12" x14ac:dyDescent="0.2">
      <c r="B7" t="s">
        <v>12</v>
      </c>
      <c r="C7" s="5">
        <v>610</v>
      </c>
      <c r="D7">
        <f>C7</f>
        <v>610</v>
      </c>
      <c r="E7">
        <f t="shared" si="0"/>
        <v>610</v>
      </c>
      <c r="F7">
        <f t="shared" si="0"/>
        <v>610</v>
      </c>
      <c r="H7" t="s">
        <v>12</v>
      </c>
      <c r="I7" s="5">
        <v>898</v>
      </c>
      <c r="J7">
        <f>I7</f>
        <v>898</v>
      </c>
      <c r="K7">
        <f t="shared" si="1"/>
        <v>898</v>
      </c>
      <c r="L7">
        <f t="shared" si="1"/>
        <v>898</v>
      </c>
    </row>
    <row r="8" spans="1:12" x14ac:dyDescent="0.2">
      <c r="B8" t="s">
        <v>13</v>
      </c>
      <c r="C8" s="5">
        <v>680</v>
      </c>
      <c r="D8">
        <f>C8</f>
        <v>680</v>
      </c>
      <c r="E8">
        <f t="shared" si="0"/>
        <v>680</v>
      </c>
      <c r="F8">
        <f t="shared" si="0"/>
        <v>680</v>
      </c>
      <c r="H8" t="s">
        <v>13</v>
      </c>
      <c r="I8" s="5">
        <v>958</v>
      </c>
      <c r="J8">
        <f>I8</f>
        <v>958</v>
      </c>
      <c r="K8">
        <f t="shared" si="1"/>
        <v>958</v>
      </c>
      <c r="L8">
        <f t="shared" si="1"/>
        <v>958</v>
      </c>
    </row>
    <row r="9" spans="1:12" x14ac:dyDescent="0.2">
      <c r="B9" t="s">
        <v>14</v>
      </c>
      <c r="C9" t="s">
        <v>15</v>
      </c>
      <c r="D9" t="s">
        <v>16</v>
      </c>
      <c r="E9" t="s">
        <v>26</v>
      </c>
      <c r="F9" t="s">
        <v>17</v>
      </c>
      <c r="H9" t="s">
        <v>14</v>
      </c>
      <c r="I9" t="s">
        <v>15</v>
      </c>
      <c r="J9" t="s">
        <v>16</v>
      </c>
      <c r="K9" s="5" t="s">
        <v>26</v>
      </c>
      <c r="L9" t="s">
        <v>17</v>
      </c>
    </row>
    <row r="10" spans="1:12" x14ac:dyDescent="0.2">
      <c r="B10" t="s">
        <v>18</v>
      </c>
      <c r="C10">
        <v>0</v>
      </c>
      <c r="D10">
        <v>-700</v>
      </c>
      <c r="E10">
        <v>0</v>
      </c>
      <c r="F10">
        <v>9</v>
      </c>
      <c r="H10" t="s">
        <v>18</v>
      </c>
      <c r="I10">
        <v>0</v>
      </c>
      <c r="J10">
        <v>0</v>
      </c>
      <c r="K10">
        <v>0</v>
      </c>
      <c r="L10">
        <v>39.65</v>
      </c>
    </row>
    <row r="11" spans="1:12" x14ac:dyDescent="0.2">
      <c r="B11" t="s">
        <v>19</v>
      </c>
      <c r="C11">
        <v>1</v>
      </c>
      <c r="D11">
        <f>D10+1000</f>
        <v>300</v>
      </c>
      <c r="E11">
        <v>1</v>
      </c>
      <c r="F11">
        <f>F10+1</f>
        <v>10</v>
      </c>
      <c r="H11" t="s">
        <v>19</v>
      </c>
      <c r="I11">
        <v>1</v>
      </c>
      <c r="J11">
        <v>1000</v>
      </c>
      <c r="K11">
        <v>1</v>
      </c>
      <c r="L11">
        <f>L10+1</f>
        <v>40.65</v>
      </c>
    </row>
    <row r="12" spans="1:12" x14ac:dyDescent="0.2">
      <c r="B12" t="s">
        <v>20</v>
      </c>
      <c r="C12">
        <v>0</v>
      </c>
      <c r="D12">
        <v>0</v>
      </c>
      <c r="E12">
        <v>0</v>
      </c>
      <c r="F12">
        <v>0</v>
      </c>
      <c r="H12" t="s">
        <v>20</v>
      </c>
      <c r="I12">
        <v>0</v>
      </c>
      <c r="J12">
        <v>0</v>
      </c>
      <c r="K12">
        <v>0</v>
      </c>
      <c r="L12">
        <v>0</v>
      </c>
    </row>
    <row r="13" spans="1:12" x14ac:dyDescent="0.2">
      <c r="B13" t="s">
        <v>21</v>
      </c>
      <c r="C13">
        <f>C12+1</f>
        <v>1</v>
      </c>
      <c r="D13">
        <f>D12+1</f>
        <v>1</v>
      </c>
      <c r="E13">
        <v>1</v>
      </c>
      <c r="F13">
        <v>1</v>
      </c>
      <c r="H13" t="s">
        <v>21</v>
      </c>
      <c r="I13">
        <f>I12+1</f>
        <v>1</v>
      </c>
      <c r="J13">
        <f>J12+1</f>
        <v>1</v>
      </c>
      <c r="K13">
        <v>1</v>
      </c>
      <c r="L13">
        <v>1</v>
      </c>
    </row>
    <row r="14" spans="1:12" x14ac:dyDescent="0.2">
      <c r="B14" t="s">
        <v>22</v>
      </c>
      <c r="F14">
        <v>50</v>
      </c>
      <c r="H14" t="s">
        <v>22</v>
      </c>
    </row>
    <row r="15" spans="1:12" x14ac:dyDescent="0.2">
      <c r="C15" t="s">
        <v>1</v>
      </c>
      <c r="D15" t="s">
        <v>23</v>
      </c>
      <c r="E15" t="s">
        <v>24</v>
      </c>
      <c r="F15" t="s">
        <v>25</v>
      </c>
      <c r="I15" t="s">
        <v>1</v>
      </c>
      <c r="J15" t="s">
        <v>23</v>
      </c>
      <c r="K15" t="s">
        <v>24</v>
      </c>
      <c r="L15" t="s">
        <v>25</v>
      </c>
    </row>
    <row r="17" spans="3:12" x14ac:dyDescent="0.2">
      <c r="C17" t="str">
        <f>C15&amp;IF(C16&lt;&gt;"",", "&amp;C16,"")&amp;IF(C14&lt;&gt;""," x "&amp;C14,"")</f>
        <v>Time</v>
      </c>
      <c r="D17" t="str">
        <f>D15&amp;IF(D16&lt;&gt;"",", "&amp;D16,"")&amp;IF(D14&lt;&gt;""," x "&amp;D14,"")</f>
        <v>Depth (mm)</v>
      </c>
      <c r="E17" t="str">
        <f>E15&amp;IF(E16&lt;&gt;"",", "&amp;E16,"")&amp;IF(E14&lt;&gt;""," x "&amp;E14,"")</f>
        <v>O2 (uM)</v>
      </c>
      <c r="F17" t="str">
        <f>F15&amp;IF(F16&lt;&gt;"",", "&amp;F16,"")&amp;IF(F14&lt;&gt;""," x "&amp;F14,"")</f>
        <v>EP (mV) x 50</v>
      </c>
      <c r="I17" t="str">
        <f>I15&amp;IF(I16&lt;&gt;"",", "&amp;I16,"")&amp;IF(I14&lt;&gt;""," x "&amp;I14,"")</f>
        <v>Time</v>
      </c>
      <c r="J17" t="str">
        <f>J15&amp;IF(J16&lt;&gt;"",", "&amp;J16,"")&amp;IF(J14&lt;&gt;""," x "&amp;J14,"")</f>
        <v>Depth (mm)</v>
      </c>
      <c r="K17" t="str">
        <f>K15&amp;IF(K16&lt;&gt;"",", "&amp;K16,"")&amp;IF(K14&lt;&gt;""," x "&amp;K14,"")</f>
        <v>O2 (uM)</v>
      </c>
      <c r="L17" t="str">
        <f>L15&amp;IF(L16&lt;&gt;"",", "&amp;L16,"")&amp;IF(L14&lt;&gt;""," x "&amp;L14,"")</f>
        <v>EP (mV)</v>
      </c>
    </row>
    <row r="18" spans="3:12" x14ac:dyDescent="0.2">
      <c r="C18" s="3" cm="1">
        <f t="array" aca="1" ref="C18" ca="1">IF(ROWS(A$18:A18)&gt;C$8-C$7+1,
   NA(),
   IF(OR(C$7="",C$8="",C$7=C$8),
      NA(),
      (INDIRECT(ADDRESS(C$7+ROWS(A$18:$B18)-1,COLUMN(INDIRECT(C$9&amp;1)),,,C$6))-C$10)/(C$11-C$10)*(C$13-C$12))*IF(C$14&lt;&gt;"",C$14,1))</f>
        <v>46295.94327546296</v>
      </c>
      <c r="D18" s="4" cm="1">
        <f t="array" aca="1" ref="D18" ca="1">IF(ROWS(B$18:B18)&gt;D$8-D$7+1,
   NA(),
   IF(OR(D$7="",D$8="",D$7=D$8),
      NA(),
      (INDIRECT(ADDRESS(D$7+ROWS($B$18:B18)-1,COLUMN(INDIRECT(D$9&amp;1)),,,D$6))-D$10)/(D$11-D$10)*(D$13-D$12))*IF(D$14&lt;&gt;"",D$14,1))</f>
        <v>5.7</v>
      </c>
      <c r="E18" s="4" t="e" cm="1">
        <f t="array" aca="1" ref="E18" ca="1">IF(ROWS(C$18:C18)&gt;E$8-E$7+1,
   NA(),
   IF(OR(E$7="",E$8="",E$7=E$8),
      NA(),
      (INDIRECT(ADDRESS(E$7+ROWS($B$18:C18)-1,COLUMN(INDIRECT(E$9&amp;1)),,,E$6))-E$10)/(E$11-E$10)*(E$13-E$12))*IF(E$14&lt;&gt;"",E$14,1))</f>
        <v>#VALUE!</v>
      </c>
      <c r="F18" s="4" cm="1">
        <f t="array" aca="1" ref="F18" ca="1">IF(ROWS(D$18:D18)&gt;F$8-F$7+1,
   NA(),
   IF(OR(F$7="",F$8="",F$7=F$8),
      NA(),
      (INDIRECT(ADDRESS(F$7+ROWS($B$18:D18)-1,COLUMN(INDIRECT(F$9&amp;1)),,,F$6))-F$10)/(F$11-F$10)*(F$13-F$12))*IF(F$14&lt;&gt;"",F$14,1))</f>
        <v>322.682189941405</v>
      </c>
      <c r="I18" s="3" cm="1">
        <f t="array" aca="1" ref="I18" ca="1">IF(ROWS(G$18:G18)&gt;I$8-I$7+1,
   NA(),
   IF(OR(I$7="",I$8="",I$7=I$8),
      NA(),
      (INDIRECT(ADDRESS(I$7+ROWS($B$18:G18)-1,COLUMN(INDIRECT(I$9&amp;1)),,,I$6))-I$10)/(I$11-I$10)*(I$13-I$12))*IF(I$14&lt;&gt;"",I$14,1))</f>
        <v>46295.968356481484</v>
      </c>
      <c r="J18" s="4" cm="1">
        <f t="array" aca="1" ref="J18" ca="1">IF(ROWS(H$18:H18)&gt;J$8-J$7+1,
   NA(),
   IF(OR(J$7="",J$8="",J$7=J$8),
      NA(),
      (INDIRECT(ADDRESS(J$7+ROWS($B$18:H18)-1,COLUMN(INDIRECT(J$9&amp;1)),,,J$6))-J$10)/(J$11-J$10)*(J$13-J$12))*IF(J$14&lt;&gt;"",J$14,1))</f>
        <v>-1</v>
      </c>
      <c r="K18" s="4" cm="1">
        <f t="array" aca="1" ref="K18" ca="1">IF(ROWS(I$18:I18)&gt;K$8-K$7+1,
   NA(),
   IF(OR(K$7="",K$8="",K$7=K$8),
      NA(),
      (INDIRECT(ADDRESS(K$7+ROWS($B$18:I18)-1,COLUMN(INDIRECT(K$9&amp;1)),,,K$6))-K$10)/(K$11-K$10)*(K$13-K$12))*IF(K$14&lt;&gt;"",K$14,1))</f>
        <v>287.23712158203102</v>
      </c>
      <c r="L18" s="4" cm="1">
        <f t="array" aca="1" ref="L18" ca="1">IF(ROWS(J$18:J18)&gt;L$8-L$7+1,
   NA(),
   IF(OR(L$7="",L$8="",L$7=L$8),
      NA(),
      (INDIRECT(ADDRESS(L$7+ROWS($B$18:J18)-1,COLUMN(INDIRECT(L$9&amp;1)),,,L$6))-L$10)/(L$11-L$10)*(L$13-L$12))*IF(L$14&lt;&gt;"",L$14,1))</f>
        <v>-436.39011230468799</v>
      </c>
    </row>
    <row r="19" spans="3:12" x14ac:dyDescent="0.2">
      <c r="C19" s="3" cm="1">
        <f t="array" aca="1" ref="C19" ca="1">IF(ROWS(A$18:A19)&gt;C$8-C$7+1,
   NA(),
   IF(OR(C$7="",C$8="",C$7=C$8),
      NA(),
      (INDIRECT(ADDRESS(C$7+ROWS(A$18:$B19)-1,COLUMN(INDIRECT(C$9&amp;1)),,,C$6))-C$10)/(C$11-C$10)*(C$13-C$12))*IF(C$14&lt;&gt;"",C$14,1))</f>
        <v>46295.943310185183</v>
      </c>
      <c r="D19" s="4" cm="1">
        <f t="array" aca="1" ref="D19" ca="1">IF(ROWS(B$18:B19)&gt;D$8-D$7+1,
   NA(),
   IF(OR(D$7="",D$8="",D$7=D$8),
      NA(),
      (INDIRECT(ADDRESS(D$7+ROWS($B$18:B19)-1,COLUMN(INDIRECT(D$9&amp;1)),,,D$6))-D$10)/(D$11-D$10)*(D$13-D$12))*IF(D$14&lt;&gt;"",D$14,1))</f>
        <v>5.6</v>
      </c>
      <c r="E19" s="4" t="e" cm="1">
        <f t="array" aca="1" ref="E19" ca="1">IF(ROWS(C$18:C19)&gt;E$8-E$7+1,
   NA(),
   IF(OR(E$7="",E$8="",E$7=E$8),
      NA(),
      (INDIRECT(ADDRESS(E$7+ROWS($B$18:C19)-1,COLUMN(INDIRECT(E$9&amp;1)),,,E$6))-E$10)/(E$11-E$10)*(E$13-E$12))*IF(E$14&lt;&gt;"",E$14,1))</f>
        <v>#VALUE!</v>
      </c>
      <c r="F19" s="4" cm="1">
        <f t="array" aca="1" ref="F19" ca="1">IF(ROWS(D$18:D19)&gt;F$8-F$7+1,
   NA(),
   IF(OR(F$7="",F$8="",F$7=F$8),
      NA(),
      (INDIRECT(ADDRESS(F$7+ROWS($B$18:D19)-1,COLUMN(INDIRECT(F$9&amp;1)),,,F$6))-F$10)/(F$11-F$10)*(F$13-F$12))*IF(F$14&lt;&gt;"",F$14,1))</f>
        <v>309.552001953125</v>
      </c>
      <c r="I19" s="3" cm="1">
        <f t="array" aca="1" ref="I19" ca="1">IF(ROWS(G$18:G19)&gt;I$8-I$7+1,
   NA(),
   IF(OR(I$7="",I$8="",I$7=I$8),
      NA(),
      (INDIRECT(ADDRESS(I$7+ROWS($B$18:G19)-1,COLUMN(INDIRECT(I$9&amp;1)),,,I$6))-I$10)/(I$11-I$10)*(I$13-I$12))*IF(I$14&lt;&gt;"",I$14,1))</f>
        <v>46295.968391203707</v>
      </c>
      <c r="J19" s="4" cm="1">
        <f t="array" aca="1" ref="J19" ca="1">IF(ROWS(H$18:H19)&gt;J$8-J$7+1,
   NA(),
   IF(OR(J$7="",J$8="",J$7=J$8),
      NA(),
      (INDIRECT(ADDRESS(J$7+ROWS($B$18:H19)-1,COLUMN(INDIRECT(J$9&amp;1)),,,J$6))-J$10)/(J$11-J$10)*(J$13-J$12))*IF(J$14&lt;&gt;"",J$14,1))</f>
        <v>-0.95</v>
      </c>
      <c r="K19" s="4" cm="1">
        <f t="array" aca="1" ref="K19" ca="1">IF(ROWS(I$18:I19)&gt;K$8-K$7+1,
   NA(),
   IF(OR(K$7="",K$8="",K$7=K$8),
      NA(),
      (INDIRECT(ADDRESS(K$7+ROWS($B$18:I19)-1,COLUMN(INDIRECT(K$9&amp;1)),,,K$6))-K$10)/(K$11-K$10)*(K$13-K$12))*IF(K$14&lt;&gt;"",K$14,1))</f>
        <v>284.76834106445301</v>
      </c>
      <c r="L19" s="4" cm="1">
        <f t="array" aca="1" ref="L19" ca="1">IF(ROWS(J$18:J19)&gt;L$8-L$7+1,
   NA(),
   IF(OR(L$7="",L$8="",L$7=L$8),
      NA(),
      (INDIRECT(ADDRESS(L$7+ROWS($B$18:J19)-1,COLUMN(INDIRECT(L$9&amp;1)),,,L$6))-L$10)/(L$11-L$10)*(L$13-L$12))*IF(L$14&lt;&gt;"",L$14,1))</f>
        <v>-436.20685424804697</v>
      </c>
    </row>
    <row r="20" spans="3:12" x14ac:dyDescent="0.2">
      <c r="C20" s="3" cm="1">
        <f t="array" aca="1" ref="C20" ca="1">IF(ROWS(A$18:A20)&gt;C$8-C$7+1,
   NA(),
   IF(OR(C$7="",C$8="",C$7=C$8),
      NA(),
      (INDIRECT(ADDRESS(C$7+ROWS(A$18:$B20)-1,COLUMN(INDIRECT(C$9&amp;1)),,,C$6))-C$10)/(C$11-C$10)*(C$13-C$12))*IF(C$14&lt;&gt;"",C$14,1))</f>
        <v>46295.943344907406</v>
      </c>
      <c r="D20" s="4" cm="1">
        <f t="array" aca="1" ref="D20" ca="1">IF(ROWS(B$18:B20)&gt;D$8-D$7+1,
   NA(),
   IF(OR(D$7="",D$8="",D$7=D$8),
      NA(),
      (INDIRECT(ADDRESS(D$7+ROWS($B$18:B20)-1,COLUMN(INDIRECT(D$9&amp;1)),,,D$6))-D$10)/(D$11-D$10)*(D$13-D$12))*IF(D$14&lt;&gt;"",D$14,1))</f>
        <v>5.5</v>
      </c>
      <c r="E20" s="4" t="e" cm="1">
        <f t="array" aca="1" ref="E20" ca="1">IF(ROWS(C$18:C20)&gt;E$8-E$7+1,
   NA(),
   IF(OR(E$7="",E$8="",E$7=E$8),
      NA(),
      (INDIRECT(ADDRESS(E$7+ROWS($B$18:C20)-1,COLUMN(INDIRECT(E$9&amp;1)),,,E$6))-E$10)/(E$11-E$10)*(E$13-E$12))*IF(E$14&lt;&gt;"",E$14,1))</f>
        <v>#VALUE!</v>
      </c>
      <c r="F20" s="4" cm="1">
        <f t="array" aca="1" ref="F20" ca="1">IF(ROWS(D$18:D20)&gt;F$8-F$7+1,
   NA(),
   IF(OR(F$7="",F$8="",F$7=F$8),
      NA(),
      (INDIRECT(ADDRESS(F$7+ROWS($B$18:D20)-1,COLUMN(INDIRECT(F$9&amp;1)),,,F$6))-F$10)/(F$11-F$10)*(F$13-F$12))*IF(F$14&lt;&gt;"",F$14,1))</f>
        <v>315.762329101565</v>
      </c>
      <c r="I20" s="3" cm="1">
        <f t="array" aca="1" ref="I20" ca="1">IF(ROWS(G$18:G20)&gt;I$8-I$7+1,
   NA(),
   IF(OR(I$7="",I$8="",I$7=I$8),
      NA(),
      (INDIRECT(ADDRESS(I$7+ROWS($B$18:G20)-1,COLUMN(INDIRECT(I$9&amp;1)),,,I$6))-I$10)/(I$11-I$10)*(I$13-I$12))*IF(I$14&lt;&gt;"",I$14,1))</f>
        <v>46295.968425925923</v>
      </c>
      <c r="J20" s="4" cm="1">
        <f t="array" aca="1" ref="J20" ca="1">IF(ROWS(H$18:H20)&gt;J$8-J$7+1,
   NA(),
   IF(OR(J$7="",J$8="",J$7=J$8),
      NA(),
      (INDIRECT(ADDRESS(J$7+ROWS($B$18:H20)-1,COLUMN(INDIRECT(J$9&amp;1)),,,J$6))-J$10)/(J$11-J$10)*(J$13-J$12))*IF(J$14&lt;&gt;"",J$14,1))</f>
        <v>-0.9</v>
      </c>
      <c r="K20" s="4" cm="1">
        <f t="array" aca="1" ref="K20" ca="1">IF(ROWS(I$18:I20)&gt;K$8-K$7+1,
   NA(),
   IF(OR(K$7="",K$8="",K$7=K$8),
      NA(),
      (INDIRECT(ADDRESS(K$7+ROWS($B$18:I20)-1,COLUMN(INDIRECT(K$9&amp;1)),,,K$6))-K$10)/(K$11-K$10)*(K$13-K$12))*IF(K$14&lt;&gt;"",K$14,1))</f>
        <v>264.42477416992199</v>
      </c>
      <c r="L20" s="4" cm="1">
        <f t="array" aca="1" ref="L20" ca="1">IF(ROWS(J$18:J20)&gt;L$8-L$7+1,
   NA(),
   IF(OR(L$7="",L$8="",L$7=L$8),
      NA(),
      (INDIRECT(ADDRESS(L$7+ROWS($B$18:J20)-1,COLUMN(INDIRECT(L$9&amp;1)),,,L$6))-L$10)/(L$11-L$10)*(L$13-L$12))*IF(L$14&lt;&gt;"",L$14,1))</f>
        <v>-435.77136840820299</v>
      </c>
    </row>
    <row r="21" spans="3:12" x14ac:dyDescent="0.2">
      <c r="C21" s="3" cm="1">
        <f t="array" aca="1" ref="C21" ca="1">IF(ROWS(A$18:A21)&gt;C$8-C$7+1,
   NA(),
   IF(OR(C$7="",C$8="",C$7=C$8),
      NA(),
      (INDIRECT(ADDRESS(C$7+ROWS(A$18:$B21)-1,COLUMN(INDIRECT(C$9&amp;1)),,,C$6))-C$10)/(C$11-C$10)*(C$13-C$12))*IF(C$14&lt;&gt;"",C$14,1))</f>
        <v>46295.943379629629</v>
      </c>
      <c r="D21" s="4" cm="1">
        <f t="array" aca="1" ref="D21" ca="1">IF(ROWS(B$18:B21)&gt;D$8-D$7+1,
   NA(),
   IF(OR(D$7="",D$8="",D$7=D$8),
      NA(),
      (INDIRECT(ADDRESS(D$7+ROWS($B$18:B21)-1,COLUMN(INDIRECT(D$9&amp;1)),,,D$6))-D$10)/(D$11-D$10)*(D$13-D$12))*IF(D$14&lt;&gt;"",D$14,1))</f>
        <v>5.4</v>
      </c>
      <c r="E21" s="4" t="e" cm="1">
        <f t="array" aca="1" ref="E21" ca="1">IF(ROWS(C$18:C21)&gt;E$8-E$7+1,
   NA(),
   IF(OR(E$7="",E$8="",E$7=E$8),
      NA(),
      (INDIRECT(ADDRESS(E$7+ROWS($B$18:C21)-1,COLUMN(INDIRECT(E$9&amp;1)),,,E$6))-E$10)/(E$11-E$10)*(E$13-E$12))*IF(E$14&lt;&gt;"",E$14,1))</f>
        <v>#VALUE!</v>
      </c>
      <c r="F21" s="4" cm="1">
        <f t="array" aca="1" ref="F21" ca="1">IF(ROWS(D$18:D21)&gt;F$8-F$7+1,
   NA(),
   IF(OR(F$7="",F$8="",F$7=F$8),
      NA(),
      (INDIRECT(ADDRESS(F$7+ROWS($B$18:D21)-1,COLUMN(INDIRECT(F$9&amp;1)),,,F$6))-F$10)/(F$11-F$10)*(F$13-F$12))*IF(F$14&lt;&gt;"",F$14,1))</f>
        <v>309.788513183595</v>
      </c>
      <c r="I21" s="3" cm="1">
        <f t="array" aca="1" ref="I21" ca="1">IF(ROWS(G$18:G21)&gt;I$8-I$7+1,
   NA(),
   IF(OR(I$7="",I$8="",I$7=I$8),
      NA(),
      (INDIRECT(ADDRESS(I$7+ROWS($B$18:G21)-1,COLUMN(INDIRECT(I$9&amp;1)),,,I$6))-I$10)/(I$11-I$10)*(I$13-I$12))*IF(I$14&lt;&gt;"",I$14,1))</f>
        <v>46295.968460648146</v>
      </c>
      <c r="J21" s="4" cm="1">
        <f t="array" aca="1" ref="J21" ca="1">IF(ROWS(H$18:H21)&gt;J$8-J$7+1,
   NA(),
   IF(OR(J$7="",J$8="",J$7=J$8),
      NA(),
      (INDIRECT(ADDRESS(J$7+ROWS($B$18:H21)-1,COLUMN(INDIRECT(J$9&amp;1)),,,J$6))-J$10)/(J$11-J$10)*(J$13-J$12))*IF(J$14&lt;&gt;"",J$14,1))</f>
        <v>-0.85</v>
      </c>
      <c r="K21" s="4" cm="1">
        <f t="array" aca="1" ref="K21" ca="1">IF(ROWS(I$18:I21)&gt;K$8-K$7+1,
   NA(),
   IF(OR(K$7="",K$8="",K$7=K$8),
      NA(),
      (INDIRECT(ADDRESS(K$7+ROWS($B$18:I21)-1,COLUMN(INDIRECT(K$9&amp;1)),,,K$6))-K$10)/(K$11-K$10)*(K$13-K$12))*IF(K$14&lt;&gt;"",K$14,1))</f>
        <v>273.18243408203102</v>
      </c>
      <c r="L21" s="4" cm="1">
        <f t="array" aca="1" ref="L21" ca="1">IF(ROWS(J$18:J21)&gt;L$8-L$7+1,
   NA(),
   IF(OR(L$7="",L$8="",L$7=L$8),
      NA(),
      (INDIRECT(ADDRESS(L$7+ROWS($B$18:J21)-1,COLUMN(INDIRECT(L$9&amp;1)),,,L$6))-L$10)/(L$11-L$10)*(L$13-L$12))*IF(L$14&lt;&gt;"",L$14,1))</f>
        <v>-436.23523559570299</v>
      </c>
    </row>
    <row r="22" spans="3:12" x14ac:dyDescent="0.2">
      <c r="C22" s="3" cm="1">
        <f t="array" aca="1" ref="C22" ca="1">IF(ROWS(A$18:A22)&gt;C$8-C$7+1,
   NA(),
   IF(OR(C$7="",C$8="",C$7=C$8),
      NA(),
      (INDIRECT(ADDRESS(C$7+ROWS(A$18:$B22)-1,COLUMN(INDIRECT(C$9&amp;1)),,,C$6))-C$10)/(C$11-C$10)*(C$13-C$12))*IF(C$14&lt;&gt;"",C$14,1))</f>
        <v>46295.943414351852</v>
      </c>
      <c r="D22" s="4" cm="1">
        <f t="array" aca="1" ref="D22" ca="1">IF(ROWS(B$18:B22)&gt;D$8-D$7+1,
   NA(),
   IF(OR(D$7="",D$8="",D$7=D$8),
      NA(),
      (INDIRECT(ADDRESS(D$7+ROWS($B$18:B22)-1,COLUMN(INDIRECT(D$9&amp;1)),,,D$6))-D$10)/(D$11-D$10)*(D$13-D$12))*IF(D$14&lt;&gt;"",D$14,1))</f>
        <v>5.3</v>
      </c>
      <c r="E22" s="4" t="e" cm="1">
        <f t="array" aca="1" ref="E22" ca="1">IF(ROWS(C$18:C22)&gt;E$8-E$7+1,
   NA(),
   IF(OR(E$7="",E$8="",E$7=E$8),
      NA(),
      (INDIRECT(ADDRESS(E$7+ROWS($B$18:C22)-1,COLUMN(INDIRECT(E$9&amp;1)),,,E$6))-E$10)/(E$11-E$10)*(E$13-E$12))*IF(E$14&lt;&gt;"",E$14,1))</f>
        <v>#VALUE!</v>
      </c>
      <c r="F22" s="4" cm="1">
        <f t="array" aca="1" ref="F22" ca="1">IF(ROWS(D$18:D22)&gt;F$8-F$7+1,
   NA(),
   IF(OR(F$7="",F$8="",F$7=F$8),
      NA(),
      (INDIRECT(ADDRESS(F$7+ROWS($B$18:D22)-1,COLUMN(INDIRECT(F$9&amp;1)),,,F$6))-F$10)/(F$11-F$10)*(F$13-F$12))*IF(F$14&lt;&gt;"",F$14,1))</f>
        <v>309.307861328125</v>
      </c>
      <c r="I22" s="3" cm="1">
        <f t="array" aca="1" ref="I22" ca="1">IF(ROWS(G$18:G22)&gt;I$8-I$7+1,
   NA(),
   IF(OR(I$7="",I$8="",I$7=I$8),
      NA(),
      (INDIRECT(ADDRESS(I$7+ROWS($B$18:G22)-1,COLUMN(INDIRECT(I$9&amp;1)),,,I$6))-I$10)/(I$11-I$10)*(I$13-I$12))*IF(I$14&lt;&gt;"",I$14,1))</f>
        <v>46295.968495370369</v>
      </c>
      <c r="J22" s="4" cm="1">
        <f t="array" aca="1" ref="J22" ca="1">IF(ROWS(H$18:H22)&gt;J$8-J$7+1,
   NA(),
   IF(OR(J$7="",J$8="",J$7=J$8),
      NA(),
      (INDIRECT(ADDRESS(J$7+ROWS($B$18:H22)-1,COLUMN(INDIRECT(J$9&amp;1)),,,J$6))-J$10)/(J$11-J$10)*(J$13-J$12))*IF(J$14&lt;&gt;"",J$14,1))</f>
        <v>-0.8</v>
      </c>
      <c r="K22" s="4" cm="1">
        <f t="array" aca="1" ref="K22" ca="1">IF(ROWS(I$18:I22)&gt;K$8-K$7+1,
   NA(),
   IF(OR(K$7="",K$8="",K$7=K$8),
      NA(),
      (INDIRECT(ADDRESS(K$7+ROWS($B$18:I22)-1,COLUMN(INDIRECT(K$9&amp;1)),,,K$6))-K$10)/(K$11-K$10)*(K$13-K$12))*IF(K$14&lt;&gt;"",K$14,1))</f>
        <v>286.17047119140602</v>
      </c>
      <c r="L22" s="4" cm="1">
        <f t="array" aca="1" ref="L22" ca="1">IF(ROWS(J$18:J22)&gt;L$8-L$7+1,
   NA(),
   IF(OR(L$7="",L$8="",L$7=L$8),
      NA(),
      (INDIRECT(ADDRESS(L$7+ROWS($B$18:J22)-1,COLUMN(INDIRECT(L$9&amp;1)),,,L$6))-L$10)/(L$11-L$10)*(L$13-L$12))*IF(L$14&lt;&gt;"",L$14,1))</f>
        <v>-435.99460449218799</v>
      </c>
    </row>
    <row r="23" spans="3:12" x14ac:dyDescent="0.2">
      <c r="C23" s="3" cm="1">
        <f t="array" aca="1" ref="C23" ca="1">IF(ROWS(A$18:A23)&gt;C$8-C$7+1,
   NA(),
   IF(OR(C$7="",C$8="",C$7=C$8),
      NA(),
      (INDIRECT(ADDRESS(C$7+ROWS(A$18:$B23)-1,COLUMN(INDIRECT(C$9&amp;1)),,,C$6))-C$10)/(C$11-C$10)*(C$13-C$12))*IF(C$14&lt;&gt;"",C$14,1))</f>
        <v>46295.943449074075</v>
      </c>
      <c r="D23" s="4" cm="1">
        <f t="array" aca="1" ref="D23" ca="1">IF(ROWS(B$18:B23)&gt;D$8-D$7+1,
   NA(),
   IF(OR(D$7="",D$8="",D$7=D$8),
      NA(),
      (INDIRECT(ADDRESS(D$7+ROWS($B$18:B23)-1,COLUMN(INDIRECT(D$9&amp;1)),,,D$6))-D$10)/(D$11-D$10)*(D$13-D$12))*IF(D$14&lt;&gt;"",D$14,1))</f>
        <v>5.2</v>
      </c>
      <c r="E23" s="4" t="e" cm="1">
        <f t="array" aca="1" ref="E23" ca="1">IF(ROWS(C$18:C23)&gt;E$8-E$7+1,
   NA(),
   IF(OR(E$7="",E$8="",E$7=E$8),
      NA(),
      (INDIRECT(ADDRESS(E$7+ROWS($B$18:C23)-1,COLUMN(INDIRECT(E$9&amp;1)),,,E$6))-E$10)/(E$11-E$10)*(E$13-E$12))*IF(E$14&lt;&gt;"",E$14,1))</f>
        <v>#VALUE!</v>
      </c>
      <c r="F23" s="4" cm="1">
        <f t="array" aca="1" ref="F23" ca="1">IF(ROWS(D$18:D23)&gt;F$8-F$7+1,
   NA(),
   IF(OR(F$7="",F$8="",F$7=F$8),
      NA(),
      (INDIRECT(ADDRESS(F$7+ROWS($B$18:D23)-1,COLUMN(INDIRECT(F$9&amp;1)),,,F$6))-F$10)/(F$11-F$10)*(F$13-F$12))*IF(F$14&lt;&gt;"",F$14,1))</f>
        <v>313.7939453125</v>
      </c>
      <c r="I23" s="3" cm="1">
        <f t="array" aca="1" ref="I23" ca="1">IF(ROWS(G$18:G23)&gt;I$8-I$7+1,
   NA(),
   IF(OR(I$7="",I$8="",I$7=I$8),
      NA(),
      (INDIRECT(ADDRESS(I$7+ROWS($B$18:G23)-1,COLUMN(INDIRECT(I$9&amp;1)),,,I$6))-I$10)/(I$11-I$10)*(I$13-I$12))*IF(I$14&lt;&gt;"",I$14,1))</f>
        <v>46295.968530092592</v>
      </c>
      <c r="J23" s="4" cm="1">
        <f t="array" aca="1" ref="J23" ca="1">IF(ROWS(H$18:H23)&gt;J$8-J$7+1,
   NA(),
   IF(OR(J$7="",J$8="",J$7=J$8),
      NA(),
      (INDIRECT(ADDRESS(J$7+ROWS($B$18:H23)-1,COLUMN(INDIRECT(J$9&amp;1)),,,J$6))-J$10)/(J$11-J$10)*(J$13-J$12))*IF(J$14&lt;&gt;"",J$14,1))</f>
        <v>-0.75</v>
      </c>
      <c r="K23" s="4" cm="1">
        <f t="array" aca="1" ref="K23" ca="1">IF(ROWS(I$18:I23)&gt;K$8-K$7+1,
   NA(),
   IF(OR(K$7="",K$8="",K$7=K$8),
      NA(),
      (INDIRECT(ADDRESS(K$7+ROWS($B$18:I23)-1,COLUMN(INDIRECT(K$9&amp;1)),,,K$6))-K$10)/(K$11-K$10)*(K$13-K$12))*IF(K$14&lt;&gt;"",K$14,1))</f>
        <v>285.14810180664102</v>
      </c>
      <c r="L23" s="4" cm="1">
        <f t="array" aca="1" ref="L23" ca="1">IF(ROWS(J$18:J23)&gt;L$8-L$7+1,
   NA(),
   IF(OR(L$7="",L$8="",L$7=L$8),
      NA(),
      (INDIRECT(ADDRESS(L$7+ROWS($B$18:J23)-1,COLUMN(INDIRECT(L$9&amp;1)),,,L$6))-L$10)/(L$11-L$10)*(L$13-L$12))*IF(L$14&lt;&gt;"",L$14,1))</f>
        <v>-436.13284912109395</v>
      </c>
    </row>
    <row r="24" spans="3:12" x14ac:dyDescent="0.2">
      <c r="C24" s="3" cm="1">
        <f t="array" aca="1" ref="C24" ca="1">IF(ROWS(A$18:A24)&gt;C$8-C$7+1,
   NA(),
   IF(OR(C$7="",C$8="",C$7=C$8),
      NA(),
      (INDIRECT(ADDRESS(C$7+ROWS(A$18:$B24)-1,COLUMN(INDIRECT(C$9&amp;1)),,,C$6))-C$10)/(C$11-C$10)*(C$13-C$12))*IF(C$14&lt;&gt;"",C$14,1))</f>
        <v>46295.943483796298</v>
      </c>
      <c r="D24" s="4" cm="1">
        <f t="array" aca="1" ref="D24" ca="1">IF(ROWS(B$18:B24)&gt;D$8-D$7+1,
   NA(),
   IF(OR(D$7="",D$8="",D$7=D$8),
      NA(),
      (INDIRECT(ADDRESS(D$7+ROWS($B$18:B24)-1,COLUMN(INDIRECT(D$9&amp;1)),,,D$6))-D$10)/(D$11-D$10)*(D$13-D$12))*IF(D$14&lt;&gt;"",D$14,1))</f>
        <v>5.0999999999999996</v>
      </c>
      <c r="E24" s="4" t="e" cm="1">
        <f t="array" aca="1" ref="E24" ca="1">IF(ROWS(C$18:C24)&gt;E$8-E$7+1,
   NA(),
   IF(OR(E$7="",E$8="",E$7=E$8),
      NA(),
      (INDIRECT(ADDRESS(E$7+ROWS($B$18:C24)-1,COLUMN(INDIRECT(E$9&amp;1)),,,E$6))-E$10)/(E$11-E$10)*(E$13-E$12))*IF(E$14&lt;&gt;"",E$14,1))</f>
        <v>#VALUE!</v>
      </c>
      <c r="F24" s="4" cm="1">
        <f t="array" aca="1" ref="F24" ca="1">IF(ROWS(D$18:D24)&gt;F$8-F$7+1,
   NA(),
   IF(OR(F$7="",F$8="",F$7=F$8),
      NA(),
      (INDIRECT(ADDRESS(F$7+ROWS($B$18:D24)-1,COLUMN(INDIRECT(F$9&amp;1)),,,F$6))-F$10)/(F$11-F$10)*(F$13-F$12))*IF(F$14&lt;&gt;"",F$14,1))</f>
        <v>368.84765625</v>
      </c>
      <c r="I24" s="3" cm="1">
        <f t="array" aca="1" ref="I24" ca="1">IF(ROWS(G$18:G24)&gt;I$8-I$7+1,
   NA(),
   IF(OR(I$7="",I$8="",I$7=I$8),
      NA(),
      (INDIRECT(ADDRESS(I$7+ROWS($B$18:G24)-1,COLUMN(INDIRECT(I$9&amp;1)),,,I$6))-I$10)/(I$11-I$10)*(I$13-I$12))*IF(I$14&lt;&gt;"",I$14,1))</f>
        <v>46295.968564814815</v>
      </c>
      <c r="J24" s="4" cm="1">
        <f t="array" aca="1" ref="J24" ca="1">IF(ROWS(H$18:H24)&gt;J$8-J$7+1,
   NA(),
   IF(OR(J$7="",J$8="",J$7=J$8),
      NA(),
      (INDIRECT(ADDRESS(J$7+ROWS($B$18:H24)-1,COLUMN(INDIRECT(J$9&amp;1)),,,J$6))-J$10)/(J$11-J$10)*(J$13-J$12))*IF(J$14&lt;&gt;"",J$14,1))</f>
        <v>-0.7</v>
      </c>
      <c r="K24" s="4" cm="1">
        <f t="array" aca="1" ref="K24" ca="1">IF(ROWS(I$18:I24)&gt;K$8-K$7+1,
   NA(),
   IF(OR(K$7="",K$8="",K$7=K$8),
      NA(),
      (INDIRECT(ADDRESS(K$7+ROWS($B$18:I24)-1,COLUMN(INDIRECT(K$9&amp;1)),,,K$6))-K$10)/(K$11-K$10)*(K$13-K$12))*IF(K$14&lt;&gt;"",K$14,1))</f>
        <v>287.00985717773398</v>
      </c>
      <c r="L24" s="4" cm="1">
        <f t="array" aca="1" ref="L24" ca="1">IF(ROWS(J$18:J24)&gt;L$8-L$7+1,
   NA(),
   IF(OR(L$7="",L$8="",L$7=L$8),
      NA(),
      (INDIRECT(ADDRESS(L$7+ROWS($B$18:J24)-1,COLUMN(INDIRECT(L$9&amp;1)),,,L$6))-L$10)/(L$11-L$10)*(L$13-L$12))*IF(L$14&lt;&gt;"",L$14,1))</f>
        <v>-435.95203247070299</v>
      </c>
    </row>
    <row r="25" spans="3:12" x14ac:dyDescent="0.2">
      <c r="C25" s="3" cm="1">
        <f t="array" aca="1" ref="C25" ca="1">IF(ROWS(A$18:A25)&gt;C$8-C$7+1,
   NA(),
   IF(OR(C$7="",C$8="",C$7=C$8),
      NA(),
      (INDIRECT(ADDRESS(C$7+ROWS(A$18:$B25)-1,COLUMN(INDIRECT(C$9&amp;1)),,,C$6))-C$10)/(C$11-C$10)*(C$13-C$12))*IF(C$14&lt;&gt;"",C$14,1))</f>
        <v>46295.943518518521</v>
      </c>
      <c r="D25" s="4" cm="1">
        <f t="array" aca="1" ref="D25" ca="1">IF(ROWS(B$18:B25)&gt;D$8-D$7+1,
   NA(),
   IF(OR(D$7="",D$8="",D$7=D$8),
      NA(),
      (INDIRECT(ADDRESS(D$7+ROWS($B$18:B25)-1,COLUMN(INDIRECT(D$9&amp;1)),,,D$6))-D$10)/(D$11-D$10)*(D$13-D$12))*IF(D$14&lt;&gt;"",D$14,1))</f>
        <v>5</v>
      </c>
      <c r="E25" s="4" t="e" cm="1">
        <f t="array" aca="1" ref="E25" ca="1">IF(ROWS(C$18:C25)&gt;E$8-E$7+1,
   NA(),
   IF(OR(E$7="",E$8="",E$7=E$8),
      NA(),
      (INDIRECT(ADDRESS(E$7+ROWS($B$18:C25)-1,COLUMN(INDIRECT(E$9&amp;1)),,,E$6))-E$10)/(E$11-E$10)*(E$13-E$12))*IF(E$14&lt;&gt;"",E$14,1))</f>
        <v>#VALUE!</v>
      </c>
      <c r="F25" s="4" cm="1">
        <f t="array" aca="1" ref="F25" ca="1">IF(ROWS(D$18:D25)&gt;F$8-F$7+1,
   NA(),
   IF(OR(F$7="",F$8="",F$7=F$8),
      NA(),
      (INDIRECT(ADDRESS(F$7+ROWS($B$18:D25)-1,COLUMN(INDIRECT(F$9&amp;1)),,,F$6))-F$10)/(F$11-F$10)*(F$13-F$12))*IF(F$14&lt;&gt;"",F$14,1))</f>
        <v>302.685546875</v>
      </c>
      <c r="I25" s="3" cm="1">
        <f t="array" aca="1" ref="I25" ca="1">IF(ROWS(G$18:G25)&gt;I$8-I$7+1,
   NA(),
   IF(OR(I$7="",I$8="",I$7=I$8),
      NA(),
      (INDIRECT(ADDRESS(I$7+ROWS($B$18:G25)-1,COLUMN(INDIRECT(I$9&amp;1)),,,I$6))-I$10)/(I$11-I$10)*(I$13-I$12))*IF(I$14&lt;&gt;"",I$14,1))</f>
        <v>46295.968599537038</v>
      </c>
      <c r="J25" s="4" cm="1">
        <f t="array" aca="1" ref="J25" ca="1">IF(ROWS(H$18:H25)&gt;J$8-J$7+1,
   NA(),
   IF(OR(J$7="",J$8="",J$7=J$8),
      NA(),
      (INDIRECT(ADDRESS(J$7+ROWS($B$18:H25)-1,COLUMN(INDIRECT(J$9&amp;1)),,,J$6))-J$10)/(J$11-J$10)*(J$13-J$12))*IF(J$14&lt;&gt;"",J$14,1))</f>
        <v>-0.65</v>
      </c>
      <c r="K25" s="4" cm="1">
        <f t="array" aca="1" ref="K25" ca="1">IF(ROWS(I$18:I25)&gt;K$8-K$7+1,
   NA(),
   IF(OR(K$7="",K$8="",K$7=K$8),
      NA(),
      (INDIRECT(ADDRESS(K$7+ROWS($B$18:I25)-1,COLUMN(INDIRECT(K$9&amp;1)),,,K$6))-K$10)/(K$11-K$10)*(K$13-K$12))*IF(K$14&lt;&gt;"",K$14,1))</f>
        <v>279.76177978515602</v>
      </c>
      <c r="L25" s="4" cm="1">
        <f t="array" aca="1" ref="L25" ca="1">IF(ROWS(J$18:J25)&gt;L$8-L$7+1,
   NA(),
   IF(OR(L$7="",L$8="",L$7=L$8),
      NA(),
      (INDIRECT(ADDRESS(L$7+ROWS($B$18:J25)-1,COLUMN(INDIRECT(L$9&amp;1)),,,L$6))-L$10)/(L$11-L$10)*(L$13-L$12))*IF(L$14&lt;&gt;"",L$14,1))</f>
        <v>-435.98636474609395</v>
      </c>
    </row>
    <row r="26" spans="3:12" x14ac:dyDescent="0.2">
      <c r="C26" s="3" cm="1">
        <f t="array" aca="1" ref="C26" ca="1">IF(ROWS(A$18:A26)&gt;C$8-C$7+1,
   NA(),
   IF(OR(C$7="",C$8="",C$7=C$8),
      NA(),
      (INDIRECT(ADDRESS(C$7+ROWS(A$18:$B26)-1,COLUMN(INDIRECT(C$9&amp;1)),,,C$6))-C$10)/(C$11-C$10)*(C$13-C$12))*IF(C$14&lt;&gt;"",C$14,1))</f>
        <v>46295.943553240744</v>
      </c>
      <c r="D26" s="4" cm="1">
        <f t="array" aca="1" ref="D26" ca="1">IF(ROWS(B$18:B26)&gt;D$8-D$7+1,
   NA(),
   IF(OR(D$7="",D$8="",D$7=D$8),
      NA(),
      (INDIRECT(ADDRESS(D$7+ROWS($B$18:B26)-1,COLUMN(INDIRECT(D$9&amp;1)),,,D$6))-D$10)/(D$11-D$10)*(D$13-D$12))*IF(D$14&lt;&gt;"",D$14,1))</f>
        <v>4.9000000000000004</v>
      </c>
      <c r="E26" s="4" t="e" cm="1">
        <f t="array" aca="1" ref="E26" ca="1">IF(ROWS(C$18:C26)&gt;E$8-E$7+1,
   NA(),
   IF(OR(E$7="",E$8="",E$7=E$8),
      NA(),
      (INDIRECT(ADDRESS(E$7+ROWS($B$18:C26)-1,COLUMN(INDIRECT(E$9&amp;1)),,,E$6))-E$10)/(E$11-E$10)*(E$13-E$12))*IF(E$14&lt;&gt;"",E$14,1))</f>
        <v>#VALUE!</v>
      </c>
      <c r="F26" s="4" cm="1">
        <f t="array" aca="1" ref="F26" ca="1">IF(ROWS(D$18:D26)&gt;F$8-F$7+1,
   NA(),
   IF(OR(F$7="",F$8="",F$7=F$8),
      NA(),
      (INDIRECT(ADDRESS(F$7+ROWS($B$18:D26)-1,COLUMN(INDIRECT(F$9&amp;1)),,,F$6))-F$10)/(F$11-F$10)*(F$13-F$12))*IF(F$14&lt;&gt;"",F$14,1))</f>
        <v>285.40496826172</v>
      </c>
      <c r="I26" s="3" cm="1">
        <f t="array" aca="1" ref="I26" ca="1">IF(ROWS(G$18:G26)&gt;I$8-I$7+1,
   NA(),
   IF(OR(I$7="",I$8="",I$7=I$8),
      NA(),
      (INDIRECT(ADDRESS(I$7+ROWS($B$18:G26)-1,COLUMN(INDIRECT(I$9&amp;1)),,,I$6))-I$10)/(I$11-I$10)*(I$13-I$12))*IF(I$14&lt;&gt;"",I$14,1))</f>
        <v>46295.968634259261</v>
      </c>
      <c r="J26" s="4" cm="1">
        <f t="array" aca="1" ref="J26" ca="1">IF(ROWS(H$18:H26)&gt;J$8-J$7+1,
   NA(),
   IF(OR(J$7="",J$8="",J$7=J$8),
      NA(),
      (INDIRECT(ADDRESS(J$7+ROWS($B$18:H26)-1,COLUMN(INDIRECT(J$9&amp;1)),,,J$6))-J$10)/(J$11-J$10)*(J$13-J$12))*IF(J$14&lt;&gt;"",J$14,1))</f>
        <v>-0.6</v>
      </c>
      <c r="K26" s="4" cm="1">
        <f t="array" aca="1" ref="K26" ca="1">IF(ROWS(I$18:I26)&gt;K$8-K$7+1,
   NA(),
   IF(OR(K$7="",K$8="",K$7=K$8),
      NA(),
      (INDIRECT(ADDRESS(K$7+ROWS($B$18:I26)-1,COLUMN(INDIRECT(K$9&amp;1)),,,K$6))-K$10)/(K$11-K$10)*(K$13-K$12))*IF(K$14&lt;&gt;"",K$14,1))</f>
        <v>268.23324584960898</v>
      </c>
      <c r="L26" s="4" cm="1">
        <f t="array" aca="1" ref="L26" ca="1">IF(ROWS(J$18:J26)&gt;L$8-L$7+1,
   NA(),
   IF(OR(L$7="",L$8="",L$7=L$8),
      NA(),
      (INDIRECT(ADDRESS(L$7+ROWS($B$18:J26)-1,COLUMN(INDIRECT(L$9&amp;1)),,,L$6))-L$10)/(L$11-L$10)*(L$13-L$12))*IF(L$14&lt;&gt;"",L$14,1))</f>
        <v>-435.94989624023395</v>
      </c>
    </row>
    <row r="27" spans="3:12" x14ac:dyDescent="0.2">
      <c r="C27" s="3" cm="1">
        <f t="array" aca="1" ref="C27" ca="1">IF(ROWS(A$18:A27)&gt;C$8-C$7+1,
   NA(),
   IF(OR(C$7="",C$8="",C$7=C$8),
      NA(),
      (INDIRECT(ADDRESS(C$7+ROWS(A$18:$B27)-1,COLUMN(INDIRECT(C$9&amp;1)),,,C$6))-C$10)/(C$11-C$10)*(C$13-C$12))*IF(C$14&lt;&gt;"",C$14,1))</f>
        <v>46295.94358796296</v>
      </c>
      <c r="D27" s="4" cm="1">
        <f t="array" aca="1" ref="D27" ca="1">IF(ROWS(B$18:B27)&gt;D$8-D$7+1,
   NA(),
   IF(OR(D$7="",D$8="",D$7=D$8),
      NA(),
      (INDIRECT(ADDRESS(D$7+ROWS($B$18:B27)-1,COLUMN(INDIRECT(D$9&amp;1)),,,D$6))-D$10)/(D$11-D$10)*(D$13-D$12))*IF(D$14&lt;&gt;"",D$14,1))</f>
        <v>4.8</v>
      </c>
      <c r="E27" s="4" t="e" cm="1">
        <f t="array" aca="1" ref="E27" ca="1">IF(ROWS(C$18:C27)&gt;E$8-E$7+1,
   NA(),
   IF(OR(E$7="",E$8="",E$7=E$8),
      NA(),
      (INDIRECT(ADDRESS(E$7+ROWS($B$18:C27)-1,COLUMN(INDIRECT(E$9&amp;1)),,,E$6))-E$10)/(E$11-E$10)*(E$13-E$12))*IF(E$14&lt;&gt;"",E$14,1))</f>
        <v>#VALUE!</v>
      </c>
      <c r="F27" s="4" cm="1">
        <f t="array" aca="1" ref="F27" ca="1">IF(ROWS(D$18:D27)&gt;F$8-F$7+1,
   NA(),
   IF(OR(F$7="",F$8="",F$7=F$8),
      NA(),
      (INDIRECT(ADDRESS(F$7+ROWS($B$18:D27)-1,COLUMN(INDIRECT(F$9&amp;1)),,,F$6))-F$10)/(F$11-F$10)*(F$13-F$12))*IF(F$14&lt;&gt;"",F$14,1))</f>
        <v>273.709106445315</v>
      </c>
      <c r="I27" s="3" cm="1">
        <f t="array" aca="1" ref="I27" ca="1">IF(ROWS(G$18:G27)&gt;I$8-I$7+1,
   NA(),
   IF(OR(I$7="",I$8="",I$7=I$8),
      NA(),
      (INDIRECT(ADDRESS(I$7+ROWS($B$18:G27)-1,COLUMN(INDIRECT(I$9&amp;1)),,,I$6))-I$10)/(I$11-I$10)*(I$13-I$12))*IF(I$14&lt;&gt;"",I$14,1))</f>
        <v>46295.968668981484</v>
      </c>
      <c r="J27" s="4" cm="1">
        <f t="array" aca="1" ref="J27" ca="1">IF(ROWS(H$18:H27)&gt;J$8-J$7+1,
   NA(),
   IF(OR(J$7="",J$8="",J$7=J$8),
      NA(),
      (INDIRECT(ADDRESS(J$7+ROWS($B$18:H27)-1,COLUMN(INDIRECT(J$9&amp;1)),,,J$6))-J$10)/(J$11-J$10)*(J$13-J$12))*IF(J$14&lt;&gt;"",J$14,1))</f>
        <v>-0.55000000000000004</v>
      </c>
      <c r="K27" s="4" cm="1">
        <f t="array" aca="1" ref="K27" ca="1">IF(ROWS(I$18:I27)&gt;K$8-K$7+1,
   NA(),
   IF(OR(K$7="",K$8="",K$7=K$8),
      NA(),
      (INDIRECT(ADDRESS(K$7+ROWS($B$18:I27)-1,COLUMN(INDIRECT(K$9&amp;1)),,,K$6))-K$10)/(K$11-K$10)*(K$13-K$12))*IF(K$14&lt;&gt;"",K$14,1))</f>
        <v>268.23034667968801</v>
      </c>
      <c r="L27" s="4" cm="1">
        <f t="array" aca="1" ref="L27" ca="1">IF(ROWS(J$18:J27)&gt;L$8-L$7+1,
   NA(),
   IF(OR(L$7="",L$8="",L$7=L$8),
      NA(),
      (INDIRECT(ADDRESS(L$7+ROWS($B$18:J27)-1,COLUMN(INDIRECT(L$9&amp;1)),,,L$6))-L$10)/(L$11-L$10)*(L$13-L$12))*IF(L$14&lt;&gt;"",L$14,1))</f>
        <v>-435.9</v>
      </c>
    </row>
    <row r="28" spans="3:12" x14ac:dyDescent="0.2">
      <c r="C28" s="3" cm="1">
        <f t="array" aca="1" ref="C28" ca="1">IF(ROWS(A$18:A28)&gt;C$8-C$7+1,
   NA(),
   IF(OR(C$7="",C$8="",C$7=C$8),
      NA(),
      (INDIRECT(ADDRESS(C$7+ROWS(A$18:$B28)-1,COLUMN(INDIRECT(C$9&amp;1)),,,C$6))-C$10)/(C$11-C$10)*(C$13-C$12))*IF(C$14&lt;&gt;"",C$14,1))</f>
        <v>46295.943622685183</v>
      </c>
      <c r="D28" s="4" cm="1">
        <f t="array" aca="1" ref="D28" ca="1">IF(ROWS(B$18:B28)&gt;D$8-D$7+1,
   NA(),
   IF(OR(D$7="",D$8="",D$7=D$8),
      NA(),
      (INDIRECT(ADDRESS(D$7+ROWS($B$18:B28)-1,COLUMN(INDIRECT(D$9&amp;1)),,,D$6))-D$10)/(D$11-D$10)*(D$13-D$12))*IF(D$14&lt;&gt;"",D$14,1))</f>
        <v>4.7</v>
      </c>
      <c r="E28" s="4" t="e" cm="1">
        <f t="array" aca="1" ref="E28" ca="1">IF(ROWS(C$18:C28)&gt;E$8-E$7+1,
   NA(),
   IF(OR(E$7="",E$8="",E$7=E$8),
      NA(),
      (INDIRECT(ADDRESS(E$7+ROWS($B$18:C28)-1,COLUMN(INDIRECT(E$9&amp;1)),,,E$6))-E$10)/(E$11-E$10)*(E$13-E$12))*IF(E$14&lt;&gt;"",E$14,1))</f>
        <v>#VALUE!</v>
      </c>
      <c r="F28" s="4" cm="1">
        <f t="array" aca="1" ref="F28" ca="1">IF(ROWS(D$18:D28)&gt;F$8-F$7+1,
   NA(),
   IF(OR(F$7="",F$8="",F$7=F$8),
      NA(),
      (INDIRECT(ADDRESS(F$7+ROWS($B$18:D28)-1,COLUMN(INDIRECT(F$9&amp;1)),,,F$6))-F$10)/(F$11-F$10)*(F$13-F$12))*IF(F$14&lt;&gt;"",F$14,1))</f>
        <v>267.71240234375</v>
      </c>
      <c r="I28" s="3" cm="1">
        <f t="array" aca="1" ref="I28" ca="1">IF(ROWS(G$18:G28)&gt;I$8-I$7+1,
   NA(),
   IF(OR(I$7="",I$8="",I$7=I$8),
      NA(),
      (INDIRECT(ADDRESS(I$7+ROWS($B$18:G28)-1,COLUMN(INDIRECT(I$9&amp;1)),,,I$6))-I$10)/(I$11-I$10)*(I$13-I$12))*IF(I$14&lt;&gt;"",I$14,1))</f>
        <v>46295.9687037037</v>
      </c>
      <c r="J28" s="4" cm="1">
        <f t="array" aca="1" ref="J28" ca="1">IF(ROWS(H$18:H28)&gt;J$8-J$7+1,
   NA(),
   IF(OR(J$7="",J$8="",J$7=J$8),
      NA(),
      (INDIRECT(ADDRESS(J$7+ROWS($B$18:H28)-1,COLUMN(INDIRECT(J$9&amp;1)),,,J$6))-J$10)/(J$11-J$10)*(J$13-J$12))*IF(J$14&lt;&gt;"",J$14,1))</f>
        <v>-0.5</v>
      </c>
      <c r="K28" s="4" cm="1">
        <f t="array" aca="1" ref="K28" ca="1">IF(ROWS(I$18:I28)&gt;K$8-K$7+1,
   NA(),
   IF(OR(K$7="",K$8="",K$7=K$8),
      NA(),
      (INDIRECT(ADDRESS(K$7+ROWS($B$18:I28)-1,COLUMN(INDIRECT(K$9&amp;1)),,,K$6))-K$10)/(K$11-K$10)*(K$13-K$12))*IF(K$14&lt;&gt;"",K$14,1))</f>
        <v>281.06585693359398</v>
      </c>
      <c r="L28" s="4" cm="1">
        <f t="array" aca="1" ref="L28" ca="1">IF(ROWS(J$18:J28)&gt;L$8-L$7+1,
   NA(),
   IF(OR(L$7="",L$8="",L$7=L$8),
      NA(),
      (INDIRECT(ADDRESS(L$7+ROWS($B$18:J28)-1,COLUMN(INDIRECT(L$9&amp;1)),,,L$6))-L$10)/(L$11-L$10)*(L$13-L$12))*IF(L$14&lt;&gt;"",L$14,1))</f>
        <v>-435.98239746093799</v>
      </c>
    </row>
    <row r="29" spans="3:12" x14ac:dyDescent="0.2">
      <c r="C29" s="3" cm="1">
        <f t="array" aca="1" ref="C29" ca="1">IF(ROWS(A$18:A29)&gt;C$8-C$7+1,
   NA(),
   IF(OR(C$7="",C$8="",C$7=C$8),
      NA(),
      (INDIRECT(ADDRESS(C$7+ROWS(A$18:$B29)-1,COLUMN(INDIRECT(C$9&amp;1)),,,C$6))-C$10)/(C$11-C$10)*(C$13-C$12))*IF(C$14&lt;&gt;"",C$14,1))</f>
        <v>46295.943657407406</v>
      </c>
      <c r="D29" s="4" cm="1">
        <f t="array" aca="1" ref="D29" ca="1">IF(ROWS(B$18:B29)&gt;D$8-D$7+1,
   NA(),
   IF(OR(D$7="",D$8="",D$7=D$8),
      NA(),
      (INDIRECT(ADDRESS(D$7+ROWS($B$18:B29)-1,COLUMN(INDIRECT(D$9&amp;1)),,,D$6))-D$10)/(D$11-D$10)*(D$13-D$12))*IF(D$14&lt;&gt;"",D$14,1))</f>
        <v>4.5999999999999996</v>
      </c>
      <c r="E29" s="4" t="e" cm="1">
        <f t="array" aca="1" ref="E29" ca="1">IF(ROWS(C$18:C29)&gt;E$8-E$7+1,
   NA(),
   IF(OR(E$7="",E$8="",E$7=E$8),
      NA(),
      (INDIRECT(ADDRESS(E$7+ROWS($B$18:C29)-1,COLUMN(INDIRECT(E$9&amp;1)),,,E$6))-E$10)/(E$11-E$10)*(E$13-E$12))*IF(E$14&lt;&gt;"",E$14,1))</f>
        <v>#VALUE!</v>
      </c>
      <c r="F29" s="4" cm="1">
        <f t="array" aca="1" ref="F29" ca="1">IF(ROWS(D$18:D29)&gt;F$8-F$7+1,
   NA(),
   IF(OR(F$7="",F$8="",F$7=F$8),
      NA(),
      (INDIRECT(ADDRESS(F$7+ROWS($B$18:D29)-1,COLUMN(INDIRECT(F$9&amp;1)),,,F$6))-F$10)/(F$11-F$10)*(F$13-F$12))*IF(F$14&lt;&gt;"",F$14,1))</f>
        <v>261.24267578125</v>
      </c>
      <c r="I29" s="3" cm="1">
        <f t="array" aca="1" ref="I29" ca="1">IF(ROWS(G$18:G29)&gt;I$8-I$7+1,
   NA(),
   IF(OR(I$7="",I$8="",I$7=I$8),
      NA(),
      (INDIRECT(ADDRESS(I$7+ROWS($B$18:G29)-1,COLUMN(INDIRECT(I$9&amp;1)),,,I$6))-I$10)/(I$11-I$10)*(I$13-I$12))*IF(I$14&lt;&gt;"",I$14,1))</f>
        <v>46295.968738425923</v>
      </c>
      <c r="J29" s="4" cm="1">
        <f t="array" aca="1" ref="J29" ca="1">IF(ROWS(H$18:H29)&gt;J$8-J$7+1,
   NA(),
   IF(OR(J$7="",J$8="",J$7=J$8),
      NA(),
      (INDIRECT(ADDRESS(J$7+ROWS($B$18:H29)-1,COLUMN(INDIRECT(J$9&amp;1)),,,J$6))-J$10)/(J$11-J$10)*(J$13-J$12))*IF(J$14&lt;&gt;"",J$14,1))</f>
        <v>-0.45</v>
      </c>
      <c r="K29" s="4" cm="1">
        <f t="array" aca="1" ref="K29" ca="1">IF(ROWS(I$18:I29)&gt;K$8-K$7+1,
   NA(),
   IF(OR(K$7="",K$8="",K$7=K$8),
      NA(),
      (INDIRECT(ADDRESS(K$7+ROWS($B$18:I29)-1,COLUMN(INDIRECT(K$9&amp;1)),,,K$6))-K$10)/(K$11-K$10)*(K$13-K$12))*IF(K$14&lt;&gt;"",K$14,1))</f>
        <v>255.84861755371099</v>
      </c>
      <c r="L29" s="4" cm="1">
        <f t="array" aca="1" ref="L29" ca="1">IF(ROWS(J$18:J29)&gt;L$8-L$7+1,
   NA(),
   IF(OR(L$7="",L$8="",L$7=L$8),
      NA(),
      (INDIRECT(ADDRESS(L$7+ROWS($B$18:J29)-1,COLUMN(INDIRECT(L$9&amp;1)),,,L$6))-L$10)/(L$11-L$10)*(L$13-L$12))*IF(L$14&lt;&gt;"",L$14,1))</f>
        <v>-435.94455566406299</v>
      </c>
    </row>
    <row r="30" spans="3:12" x14ac:dyDescent="0.2">
      <c r="C30" s="3" cm="1">
        <f t="array" aca="1" ref="C30" ca="1">IF(ROWS(A$18:A30)&gt;C$8-C$7+1,
   NA(),
   IF(OR(C$7="",C$8="",C$7=C$8),
      NA(),
      (INDIRECT(ADDRESS(C$7+ROWS(A$18:$B30)-1,COLUMN(INDIRECT(C$9&amp;1)),,,C$6))-C$10)/(C$11-C$10)*(C$13-C$12))*IF(C$14&lt;&gt;"",C$14,1))</f>
        <v>46295.943692129629</v>
      </c>
      <c r="D30" s="4" cm="1">
        <f t="array" aca="1" ref="D30" ca="1">IF(ROWS(B$18:B30)&gt;D$8-D$7+1,
   NA(),
   IF(OR(D$7="",D$8="",D$7=D$8),
      NA(),
      (INDIRECT(ADDRESS(D$7+ROWS($B$18:B30)-1,COLUMN(INDIRECT(D$9&amp;1)),,,D$6))-D$10)/(D$11-D$10)*(D$13-D$12))*IF(D$14&lt;&gt;"",D$14,1))</f>
        <v>4.5</v>
      </c>
      <c r="E30" s="4" t="e" cm="1">
        <f t="array" aca="1" ref="E30" ca="1">IF(ROWS(C$18:C30)&gt;E$8-E$7+1,
   NA(),
   IF(OR(E$7="",E$8="",E$7=E$8),
      NA(),
      (INDIRECT(ADDRESS(E$7+ROWS($B$18:C30)-1,COLUMN(INDIRECT(E$9&amp;1)),,,E$6))-E$10)/(E$11-E$10)*(E$13-E$12))*IF(E$14&lt;&gt;"",E$14,1))</f>
        <v>#VALUE!</v>
      </c>
      <c r="F30" s="4" cm="1">
        <f t="array" aca="1" ref="F30" ca="1">IF(ROWS(D$18:D30)&gt;F$8-F$7+1,
   NA(),
   IF(OR(F$7="",F$8="",F$7=F$8),
      NA(),
      (INDIRECT(ADDRESS(F$7+ROWS($B$18:D30)-1,COLUMN(INDIRECT(F$9&amp;1)),,,F$6))-F$10)/(F$11-F$10)*(F$13-F$12))*IF(F$14&lt;&gt;"",F$14,1))</f>
        <v>261.746215820315</v>
      </c>
      <c r="I30" s="3" cm="1">
        <f t="array" aca="1" ref="I30" ca="1">IF(ROWS(G$18:G30)&gt;I$8-I$7+1,
   NA(),
   IF(OR(I$7="",I$8="",I$7=I$8),
      NA(),
      (INDIRECT(ADDRESS(I$7+ROWS($B$18:G30)-1,COLUMN(INDIRECT(I$9&amp;1)),,,I$6))-I$10)/(I$11-I$10)*(I$13-I$12))*IF(I$14&lt;&gt;"",I$14,1))</f>
        <v>46295.968773148146</v>
      </c>
      <c r="J30" s="4" cm="1">
        <f t="array" aca="1" ref="J30" ca="1">IF(ROWS(H$18:H30)&gt;J$8-J$7+1,
   NA(),
   IF(OR(J$7="",J$8="",J$7=J$8),
      NA(),
      (INDIRECT(ADDRESS(J$7+ROWS($B$18:H30)-1,COLUMN(INDIRECT(J$9&amp;1)),,,J$6))-J$10)/(J$11-J$10)*(J$13-J$12))*IF(J$14&lt;&gt;"",J$14,1))</f>
        <v>-0.4</v>
      </c>
      <c r="K30" s="4" cm="1">
        <f t="array" aca="1" ref="K30" ca="1">IF(ROWS(I$18:I30)&gt;K$8-K$7+1,
   NA(),
   IF(OR(K$7="",K$8="",K$7=K$8),
      NA(),
      (INDIRECT(ADDRESS(K$7+ROWS($B$18:I30)-1,COLUMN(INDIRECT(K$9&amp;1)),,,K$6))-K$10)/(K$11-K$10)*(K$13-K$12))*IF(K$14&lt;&gt;"",K$14,1))</f>
        <v>255.66926574707</v>
      </c>
      <c r="L30" s="4" cm="1">
        <f t="array" aca="1" ref="L30" ca="1">IF(ROWS(J$18:J30)&gt;L$8-L$7+1,
   NA(),
   IF(OR(L$7="",L$8="",L$7=L$8),
      NA(),
      (INDIRECT(ADDRESS(L$7+ROWS($B$18:J30)-1,COLUMN(INDIRECT(L$9&amp;1)),,,L$6))-L$10)/(L$11-L$10)*(L$13-L$12))*IF(L$14&lt;&gt;"",L$14,1))</f>
        <v>-436.00208129882799</v>
      </c>
    </row>
    <row r="31" spans="3:12" x14ac:dyDescent="0.2">
      <c r="C31" s="3" cm="1">
        <f t="array" aca="1" ref="C31" ca="1">IF(ROWS(A$18:A31)&gt;C$8-C$7+1,
   NA(),
   IF(OR(C$7="",C$8="",C$7=C$8),
      NA(),
      (INDIRECT(ADDRESS(C$7+ROWS(A$18:$B31)-1,COLUMN(INDIRECT(C$9&amp;1)),,,C$6))-C$10)/(C$11-C$10)*(C$13-C$12))*IF(C$14&lt;&gt;"",C$14,1))</f>
        <v>46295.943726851852</v>
      </c>
      <c r="D31" s="4" cm="1">
        <f t="array" aca="1" ref="D31" ca="1">IF(ROWS(B$18:B31)&gt;D$8-D$7+1,
   NA(),
   IF(OR(D$7="",D$8="",D$7=D$8),
      NA(),
      (INDIRECT(ADDRESS(D$7+ROWS($B$18:B31)-1,COLUMN(INDIRECT(D$9&amp;1)),,,D$6))-D$10)/(D$11-D$10)*(D$13-D$12))*IF(D$14&lt;&gt;"",D$14,1))</f>
        <v>4.4000000000000004</v>
      </c>
      <c r="E31" s="4" t="e" cm="1">
        <f t="array" aca="1" ref="E31" ca="1">IF(ROWS(C$18:C31)&gt;E$8-E$7+1,
   NA(),
   IF(OR(E$7="",E$8="",E$7=E$8),
      NA(),
      (INDIRECT(ADDRESS(E$7+ROWS($B$18:C31)-1,COLUMN(INDIRECT(E$9&amp;1)),,,E$6))-E$10)/(E$11-E$10)*(E$13-E$12))*IF(E$14&lt;&gt;"",E$14,1))</f>
        <v>#VALUE!</v>
      </c>
      <c r="F31" s="4" cm="1">
        <f t="array" aca="1" ref="F31" ca="1">IF(ROWS(D$18:D31)&gt;F$8-F$7+1,
   NA(),
   IF(OR(F$7="",F$8="",F$7=F$8),
      NA(),
      (INDIRECT(ADDRESS(F$7+ROWS($B$18:D31)-1,COLUMN(INDIRECT(F$9&amp;1)),,,F$6))-F$10)/(F$11-F$10)*(F$13-F$12))*IF(F$14&lt;&gt;"",F$14,1))</f>
        <v>257.75604248047</v>
      </c>
      <c r="I31" s="3" cm="1">
        <f t="array" aca="1" ref="I31" ca="1">IF(ROWS(G$18:G31)&gt;I$8-I$7+1,
   NA(),
   IF(OR(I$7="",I$8="",I$7=I$8),
      NA(),
      (INDIRECT(ADDRESS(I$7+ROWS($B$18:G31)-1,COLUMN(INDIRECT(I$9&amp;1)),,,I$6))-I$10)/(I$11-I$10)*(I$13-I$12))*IF(I$14&lt;&gt;"",I$14,1))</f>
        <v>46295.968807870369</v>
      </c>
      <c r="J31" s="4" cm="1">
        <f t="array" aca="1" ref="J31" ca="1">IF(ROWS(H$18:H31)&gt;J$8-J$7+1,
   NA(),
   IF(OR(J$7="",J$8="",J$7=J$8),
      NA(),
      (INDIRECT(ADDRESS(J$7+ROWS($B$18:H31)-1,COLUMN(INDIRECT(J$9&amp;1)),,,J$6))-J$10)/(J$11-J$10)*(J$13-J$12))*IF(J$14&lt;&gt;"",J$14,1))</f>
        <v>-0.35</v>
      </c>
      <c r="K31" s="4" cm="1">
        <f t="array" aca="1" ref="K31" ca="1">IF(ROWS(I$18:I31)&gt;K$8-K$7+1,
   NA(),
   IF(OR(K$7="",K$8="",K$7=K$8),
      NA(),
      (INDIRECT(ADDRESS(K$7+ROWS($B$18:I31)-1,COLUMN(INDIRECT(K$9&amp;1)),,,K$6))-K$10)/(K$11-K$10)*(K$13-K$12))*IF(K$14&lt;&gt;"",K$14,1))</f>
        <v>253.51052856445301</v>
      </c>
      <c r="L31" s="4" cm="1">
        <f t="array" aca="1" ref="L31" ca="1">IF(ROWS(J$18:J31)&gt;L$8-L$7+1,
   NA(),
   IF(OR(L$7="",L$8="",L$7=L$8),
      NA(),
      (INDIRECT(ADDRESS(L$7+ROWS($B$18:J31)-1,COLUMN(INDIRECT(L$9&amp;1)),,,L$6))-L$10)/(L$11-L$10)*(L$13-L$12))*IF(L$14&lt;&gt;"",L$14,1))</f>
        <v>-435.97659912109395</v>
      </c>
    </row>
    <row r="32" spans="3:12" x14ac:dyDescent="0.2">
      <c r="C32" s="3" cm="1">
        <f t="array" aca="1" ref="C32" ca="1">IF(ROWS(A$18:A32)&gt;C$8-C$7+1,
   NA(),
   IF(OR(C$7="",C$8="",C$7=C$8),
      NA(),
      (INDIRECT(ADDRESS(C$7+ROWS(A$18:$B32)-1,COLUMN(INDIRECT(C$9&amp;1)),,,C$6))-C$10)/(C$11-C$10)*(C$13-C$12))*IF(C$14&lt;&gt;"",C$14,1))</f>
        <v>46295.943761574075</v>
      </c>
      <c r="D32" s="4" cm="1">
        <f t="array" aca="1" ref="D32" ca="1">IF(ROWS(B$18:B32)&gt;D$8-D$7+1,
   NA(),
   IF(OR(D$7="",D$8="",D$7=D$8),
      NA(),
      (INDIRECT(ADDRESS(D$7+ROWS($B$18:B32)-1,COLUMN(INDIRECT(D$9&amp;1)),,,D$6))-D$10)/(D$11-D$10)*(D$13-D$12))*IF(D$14&lt;&gt;"",D$14,1))</f>
        <v>4.3</v>
      </c>
      <c r="E32" s="4" t="e" cm="1">
        <f t="array" aca="1" ref="E32" ca="1">IF(ROWS(C$18:C32)&gt;E$8-E$7+1,
   NA(),
   IF(OR(E$7="",E$8="",E$7=E$8),
      NA(),
      (INDIRECT(ADDRESS(E$7+ROWS($B$18:C32)-1,COLUMN(INDIRECT(E$9&amp;1)),,,E$6))-E$10)/(E$11-E$10)*(E$13-E$12))*IF(E$14&lt;&gt;"",E$14,1))</f>
        <v>#VALUE!</v>
      </c>
      <c r="F32" s="4" cm="1">
        <f t="array" aca="1" ref="F32" ca="1">IF(ROWS(D$18:D32)&gt;F$8-F$7+1,
   NA(),
   IF(OR(F$7="",F$8="",F$7=F$8),
      NA(),
      (INDIRECT(ADDRESS(F$7+ROWS($B$18:D32)-1,COLUMN(INDIRECT(F$9&amp;1)),,,F$6))-F$10)/(F$11-F$10)*(F$13-F$12))*IF(F$14&lt;&gt;"",F$14,1))</f>
        <v>252.25524902344</v>
      </c>
      <c r="I32" s="3" cm="1">
        <f t="array" aca="1" ref="I32" ca="1">IF(ROWS(G$18:G32)&gt;I$8-I$7+1,
   NA(),
   IF(OR(I$7="",I$8="",I$7=I$8),
      NA(),
      (INDIRECT(ADDRESS(I$7+ROWS($B$18:G32)-1,COLUMN(INDIRECT(I$9&amp;1)),,,I$6))-I$10)/(I$11-I$10)*(I$13-I$12))*IF(I$14&lt;&gt;"",I$14,1))</f>
        <v>46295.968842592592</v>
      </c>
      <c r="J32" s="4" cm="1">
        <f t="array" aca="1" ref="J32" ca="1">IF(ROWS(H$18:H32)&gt;J$8-J$7+1,
   NA(),
   IF(OR(J$7="",J$8="",J$7=J$8),
      NA(),
      (INDIRECT(ADDRESS(J$7+ROWS($B$18:H32)-1,COLUMN(INDIRECT(J$9&amp;1)),,,J$6))-J$10)/(J$11-J$10)*(J$13-J$12))*IF(J$14&lt;&gt;"",J$14,1))</f>
        <v>-0.3</v>
      </c>
      <c r="K32" s="4" cm="1">
        <f t="array" aca="1" ref="K32" ca="1">IF(ROWS(I$18:I32)&gt;K$8-K$7+1,
   NA(),
   IF(OR(K$7="",K$8="",K$7=K$8),
      NA(),
      (INDIRECT(ADDRESS(K$7+ROWS($B$18:I32)-1,COLUMN(INDIRECT(K$9&amp;1)),,,K$6))-K$10)/(K$11-K$10)*(K$13-K$12))*IF(K$14&lt;&gt;"",K$14,1))</f>
        <v>246.29512023925801</v>
      </c>
      <c r="L32" s="4" cm="1">
        <f t="array" aca="1" ref="L32" ca="1">IF(ROWS(J$18:J32)&gt;L$8-L$7+1,
   NA(),
   IF(OR(L$7="",L$8="",L$7=L$8),
      NA(),
      (INDIRECT(ADDRESS(L$7+ROWS($B$18:J32)-1,COLUMN(INDIRECT(L$9&amp;1)),,,L$6))-L$10)/(L$11-L$10)*(L$13-L$12))*IF(L$14&lt;&gt;"",L$14,1))</f>
        <v>-436.022222900391</v>
      </c>
    </row>
    <row r="33" spans="3:12" x14ac:dyDescent="0.2">
      <c r="C33" s="3" cm="1">
        <f t="array" aca="1" ref="C33" ca="1">IF(ROWS(A$18:A33)&gt;C$8-C$7+1,
   NA(),
   IF(OR(C$7="",C$8="",C$7=C$8),
      NA(),
      (INDIRECT(ADDRESS(C$7+ROWS(A$18:$B33)-1,COLUMN(INDIRECT(C$9&amp;1)),,,C$6))-C$10)/(C$11-C$10)*(C$13-C$12))*IF(C$14&lt;&gt;"",C$14,1))</f>
        <v>46295.943796296298</v>
      </c>
      <c r="D33" s="4" cm="1">
        <f t="array" aca="1" ref="D33" ca="1">IF(ROWS(B$18:B33)&gt;D$8-D$7+1,
   NA(),
   IF(OR(D$7="",D$8="",D$7=D$8),
      NA(),
      (INDIRECT(ADDRESS(D$7+ROWS($B$18:B33)-1,COLUMN(INDIRECT(D$9&amp;1)),,,D$6))-D$10)/(D$11-D$10)*(D$13-D$12))*IF(D$14&lt;&gt;"",D$14,1))</f>
        <v>4.2</v>
      </c>
      <c r="E33" s="4" t="e" cm="1">
        <f t="array" aca="1" ref="E33" ca="1">IF(ROWS(C$18:C33)&gt;E$8-E$7+1,
   NA(),
   IF(OR(E$7="",E$8="",E$7=E$8),
      NA(),
      (INDIRECT(ADDRESS(E$7+ROWS($B$18:C33)-1,COLUMN(INDIRECT(E$9&amp;1)),,,E$6))-E$10)/(E$11-E$10)*(E$13-E$12))*IF(E$14&lt;&gt;"",E$14,1))</f>
        <v>#VALUE!</v>
      </c>
      <c r="F33" s="4" cm="1">
        <f t="array" aca="1" ref="F33" ca="1">IF(ROWS(D$18:D33)&gt;F$8-F$7+1,
   NA(),
   IF(OR(F$7="",F$8="",F$7=F$8),
      NA(),
      (INDIRECT(ADDRESS(F$7+ROWS($B$18:D33)-1,COLUMN(INDIRECT(F$9&amp;1)),,,F$6))-F$10)/(F$11-F$10)*(F$13-F$12))*IF(F$14&lt;&gt;"",F$14,1))</f>
        <v>241.96319580078</v>
      </c>
      <c r="I33" s="3" cm="1">
        <f t="array" aca="1" ref="I33" ca="1">IF(ROWS(G$18:G33)&gt;I$8-I$7+1,
   NA(),
   IF(OR(I$7="",I$8="",I$7=I$8),
      NA(),
      (INDIRECT(ADDRESS(I$7+ROWS($B$18:G33)-1,COLUMN(INDIRECT(I$9&amp;1)),,,I$6))-I$10)/(I$11-I$10)*(I$13-I$12))*IF(I$14&lt;&gt;"",I$14,1))</f>
        <v>46295.968877314815</v>
      </c>
      <c r="J33" s="4" cm="1">
        <f t="array" aca="1" ref="J33" ca="1">IF(ROWS(H$18:H33)&gt;J$8-J$7+1,
   NA(),
   IF(OR(J$7="",J$8="",J$7=J$8),
      NA(),
      (INDIRECT(ADDRESS(J$7+ROWS($B$18:H33)-1,COLUMN(INDIRECT(J$9&amp;1)),,,J$6))-J$10)/(J$11-J$10)*(J$13-J$12))*IF(J$14&lt;&gt;"",J$14,1))</f>
        <v>-0.25</v>
      </c>
      <c r="K33" s="4" cm="1">
        <f t="array" aca="1" ref="K33" ca="1">IF(ROWS(I$18:I33)&gt;K$8-K$7+1,
   NA(),
   IF(OR(K$7="",K$8="",K$7=K$8),
      NA(),
      (INDIRECT(ADDRESS(K$7+ROWS($B$18:I33)-1,COLUMN(INDIRECT(K$9&amp;1)),,,K$6))-K$10)/(K$11-K$10)*(K$13-K$12))*IF(K$14&lt;&gt;"",K$14,1))</f>
        <v>244.95689392089801</v>
      </c>
      <c r="L33" s="4" cm="1">
        <f t="array" aca="1" ref="L33" ca="1">IF(ROWS(J$18:J33)&gt;L$8-L$7+1,
   NA(),
   IF(OR(L$7="",L$8="",L$7=L$8),
      NA(),
      (INDIRECT(ADDRESS(L$7+ROWS($B$18:J33)-1,COLUMN(INDIRECT(L$9&amp;1)),,,L$6))-L$10)/(L$11-L$10)*(L$13-L$12))*IF(L$14&lt;&gt;"",L$14,1))</f>
        <v>-436.03641357421895</v>
      </c>
    </row>
    <row r="34" spans="3:12" x14ac:dyDescent="0.2">
      <c r="C34" s="3" cm="1">
        <f t="array" aca="1" ref="C34" ca="1">IF(ROWS(A$18:A34)&gt;C$8-C$7+1,
   NA(),
   IF(OR(C$7="",C$8="",C$7=C$8),
      NA(),
      (INDIRECT(ADDRESS(C$7+ROWS(A$18:$B34)-1,COLUMN(INDIRECT(C$9&amp;1)),,,C$6))-C$10)/(C$11-C$10)*(C$13-C$12))*IF(C$14&lt;&gt;"",C$14,1))</f>
        <v>46295.943831018521</v>
      </c>
      <c r="D34" s="4" cm="1">
        <f t="array" aca="1" ref="D34" ca="1">IF(ROWS(B$18:B34)&gt;D$8-D$7+1,
   NA(),
   IF(OR(D$7="",D$8="",D$7=D$8),
      NA(),
      (INDIRECT(ADDRESS(D$7+ROWS($B$18:B34)-1,COLUMN(INDIRECT(D$9&amp;1)),,,D$6))-D$10)/(D$11-D$10)*(D$13-D$12))*IF(D$14&lt;&gt;"",D$14,1))</f>
        <v>4.0999999999999996</v>
      </c>
      <c r="E34" s="4" t="e" cm="1">
        <f t="array" aca="1" ref="E34" ca="1">IF(ROWS(C$18:C34)&gt;E$8-E$7+1,
   NA(),
   IF(OR(E$7="",E$8="",E$7=E$8),
      NA(),
      (INDIRECT(ADDRESS(E$7+ROWS($B$18:C34)-1,COLUMN(INDIRECT(E$9&amp;1)),,,E$6))-E$10)/(E$11-E$10)*(E$13-E$12))*IF(E$14&lt;&gt;"",E$14,1))</f>
        <v>#VALUE!</v>
      </c>
      <c r="F34" s="4" cm="1">
        <f t="array" aca="1" ref="F34" ca="1">IF(ROWS(D$18:D34)&gt;F$8-F$7+1,
   NA(),
   IF(OR(F$7="",F$8="",F$7=F$8),
      NA(),
      (INDIRECT(ADDRESS(F$7+ROWS($B$18:D34)-1,COLUMN(INDIRECT(F$9&amp;1)),,,F$6))-F$10)/(F$11-F$10)*(F$13-F$12))*IF(F$14&lt;&gt;"",F$14,1))</f>
        <v>239.52178955078</v>
      </c>
      <c r="I34" s="3" cm="1">
        <f t="array" aca="1" ref="I34" ca="1">IF(ROWS(G$18:G34)&gt;I$8-I$7+1,
   NA(),
   IF(OR(I$7="",I$8="",I$7=I$8),
      NA(),
      (INDIRECT(ADDRESS(I$7+ROWS($B$18:G34)-1,COLUMN(INDIRECT(I$9&amp;1)),,,I$6))-I$10)/(I$11-I$10)*(I$13-I$12))*IF(I$14&lt;&gt;"",I$14,1))</f>
        <v>46295.968912037039</v>
      </c>
      <c r="J34" s="4" cm="1">
        <f t="array" aca="1" ref="J34" ca="1">IF(ROWS(H$18:H34)&gt;J$8-J$7+1,
   NA(),
   IF(OR(J$7="",J$8="",J$7=J$8),
      NA(),
      (INDIRECT(ADDRESS(J$7+ROWS($B$18:H34)-1,COLUMN(INDIRECT(J$9&amp;1)),,,J$6))-J$10)/(J$11-J$10)*(J$13-J$12))*IF(J$14&lt;&gt;"",J$14,1))</f>
        <v>-0.2</v>
      </c>
      <c r="K34" s="4" cm="1">
        <f t="array" aca="1" ref="K34" ca="1">IF(ROWS(I$18:I34)&gt;K$8-K$7+1,
   NA(),
   IF(OR(K$7="",K$8="",K$7=K$8),
      NA(),
      (INDIRECT(ADDRESS(K$7+ROWS($B$18:I34)-1,COLUMN(INDIRECT(K$9&amp;1)),,,K$6))-K$10)/(K$11-K$10)*(K$13-K$12))*IF(K$14&lt;&gt;"",K$14,1))</f>
        <v>239.64971923828099</v>
      </c>
      <c r="L34" s="4" cm="1">
        <f t="array" aca="1" ref="L34" ca="1">IF(ROWS(J$18:J34)&gt;L$8-L$7+1,
   NA(),
   IF(OR(L$7="",L$8="",L$7=L$8),
      NA(),
      (INDIRECT(ADDRESS(L$7+ROWS($B$18:J34)-1,COLUMN(INDIRECT(L$9&amp;1)),,,L$6))-L$10)/(L$11-L$10)*(L$13-L$12))*IF(L$14&lt;&gt;"",L$14,1))</f>
        <v>-435.91510620117197</v>
      </c>
    </row>
    <row r="35" spans="3:12" x14ac:dyDescent="0.2">
      <c r="C35" s="3" cm="1">
        <f t="array" aca="1" ref="C35" ca="1">IF(ROWS(A$18:A35)&gt;C$8-C$7+1,
   NA(),
   IF(OR(C$7="",C$8="",C$7=C$8),
      NA(),
      (INDIRECT(ADDRESS(C$7+ROWS(A$18:$B35)-1,COLUMN(INDIRECT(C$9&amp;1)),,,C$6))-C$10)/(C$11-C$10)*(C$13-C$12))*IF(C$14&lt;&gt;"",C$14,1))</f>
        <v>46295.943865740737</v>
      </c>
      <c r="D35" s="4" cm="1">
        <f t="array" aca="1" ref="D35" ca="1">IF(ROWS(B$18:B35)&gt;D$8-D$7+1,
   NA(),
   IF(OR(D$7="",D$8="",D$7=D$8),
      NA(),
      (INDIRECT(ADDRESS(D$7+ROWS($B$18:B35)-1,COLUMN(INDIRECT(D$9&amp;1)),,,D$6))-D$10)/(D$11-D$10)*(D$13-D$12))*IF(D$14&lt;&gt;"",D$14,1))</f>
        <v>4</v>
      </c>
      <c r="E35" s="4" t="e" cm="1">
        <f t="array" aca="1" ref="E35" ca="1">IF(ROWS(C$18:C35)&gt;E$8-E$7+1,
   NA(),
   IF(OR(E$7="",E$8="",E$7=E$8),
      NA(),
      (INDIRECT(ADDRESS(E$7+ROWS($B$18:C35)-1,COLUMN(INDIRECT(E$9&amp;1)),,,E$6))-E$10)/(E$11-E$10)*(E$13-E$12))*IF(E$14&lt;&gt;"",E$14,1))</f>
        <v>#VALUE!</v>
      </c>
      <c r="F35" s="4" cm="1">
        <f t="array" aca="1" ref="F35" ca="1">IF(ROWS(D$18:D35)&gt;F$8-F$7+1,
   NA(),
   IF(OR(F$7="",F$8="",F$7=F$8),
      NA(),
      (INDIRECT(ADDRESS(F$7+ROWS($B$18:D35)-1,COLUMN(INDIRECT(F$9&amp;1)),,,F$6))-F$10)/(F$11-F$10)*(F$13-F$12))*IF(F$14&lt;&gt;"",F$14,1))</f>
        <v>232.13653564453</v>
      </c>
      <c r="I35" s="3" cm="1">
        <f t="array" aca="1" ref="I35" ca="1">IF(ROWS(G$18:G35)&gt;I$8-I$7+1,
   NA(),
   IF(OR(I$7="",I$8="",I$7=I$8),
      NA(),
      (INDIRECT(ADDRESS(I$7+ROWS($B$18:G35)-1,COLUMN(INDIRECT(I$9&amp;1)),,,I$6))-I$10)/(I$11-I$10)*(I$13-I$12))*IF(I$14&lt;&gt;"",I$14,1))</f>
        <v>46295.968946759262</v>
      </c>
      <c r="J35" s="4" cm="1">
        <f t="array" aca="1" ref="J35" ca="1">IF(ROWS(H$18:H35)&gt;J$8-J$7+1,
   NA(),
   IF(OR(J$7="",J$8="",J$7=J$8),
      NA(),
      (INDIRECT(ADDRESS(J$7+ROWS($B$18:H35)-1,COLUMN(INDIRECT(J$9&amp;1)),,,J$6))-J$10)/(J$11-J$10)*(J$13-J$12))*IF(J$14&lt;&gt;"",J$14,1))</f>
        <v>-0.15</v>
      </c>
      <c r="K35" s="4" cm="1">
        <f t="array" aca="1" ref="K35" ca="1">IF(ROWS(I$18:I35)&gt;K$8-K$7+1,
   NA(),
   IF(OR(K$7="",K$8="",K$7=K$8),
      NA(),
      (INDIRECT(ADDRESS(K$7+ROWS($B$18:I35)-1,COLUMN(INDIRECT(K$9&amp;1)),,,K$6))-K$10)/(K$11-K$10)*(K$13-K$12))*IF(K$14&lt;&gt;"",K$14,1))</f>
        <v>232.31523132324199</v>
      </c>
      <c r="L35" s="4" cm="1">
        <f t="array" aca="1" ref="L35" ca="1">IF(ROWS(J$18:J35)&gt;L$8-L$7+1,
   NA(),
   IF(OR(L$7="",L$8="",L$7=L$8),
      NA(),
      (INDIRECT(ADDRESS(L$7+ROWS($B$18:J35)-1,COLUMN(INDIRECT(L$9&amp;1)),,,L$6))-L$10)/(L$11-L$10)*(L$13-L$12))*IF(L$14&lt;&gt;"",L$14,1))</f>
        <v>-436.04114379882799</v>
      </c>
    </row>
    <row r="36" spans="3:12" x14ac:dyDescent="0.2">
      <c r="C36" s="3" cm="1">
        <f t="array" aca="1" ref="C36" ca="1">IF(ROWS(A$18:A36)&gt;C$8-C$7+1,
   NA(),
   IF(OR(C$7="",C$8="",C$7=C$8),
      NA(),
      (INDIRECT(ADDRESS(C$7+ROWS(A$18:$B36)-1,COLUMN(INDIRECT(C$9&amp;1)),,,C$6))-C$10)/(C$11-C$10)*(C$13-C$12))*IF(C$14&lt;&gt;"",C$14,1))</f>
        <v>46295.94390046296</v>
      </c>
      <c r="D36" s="4" cm="1">
        <f t="array" aca="1" ref="D36" ca="1">IF(ROWS(B$18:B36)&gt;D$8-D$7+1,
   NA(),
   IF(OR(D$7="",D$8="",D$7=D$8),
      NA(),
      (INDIRECT(ADDRESS(D$7+ROWS($B$18:B36)-1,COLUMN(INDIRECT(D$9&amp;1)),,,D$6))-D$10)/(D$11-D$10)*(D$13-D$12))*IF(D$14&lt;&gt;"",D$14,1))</f>
        <v>3.9</v>
      </c>
      <c r="E36" s="4" t="e" cm="1">
        <f t="array" aca="1" ref="E36" ca="1">IF(ROWS(C$18:C36)&gt;E$8-E$7+1,
   NA(),
   IF(OR(E$7="",E$8="",E$7=E$8),
      NA(),
      (INDIRECT(ADDRESS(E$7+ROWS($B$18:C36)-1,COLUMN(INDIRECT(E$9&amp;1)),,,E$6))-E$10)/(E$11-E$10)*(E$13-E$12))*IF(E$14&lt;&gt;"",E$14,1))</f>
        <v>#VALUE!</v>
      </c>
      <c r="F36" s="4" cm="1">
        <f t="array" aca="1" ref="F36" ca="1">IF(ROWS(D$18:D36)&gt;F$8-F$7+1,
   NA(),
   IF(OR(F$7="",F$8="",F$7=F$8),
      NA(),
      (INDIRECT(ADDRESS(F$7+ROWS($B$18:D36)-1,COLUMN(INDIRECT(F$9&amp;1)),,,F$6))-F$10)/(F$11-F$10)*(F$13-F$12))*IF(F$14&lt;&gt;"",F$14,1))</f>
        <v>217.274475097655</v>
      </c>
      <c r="I36" s="3" cm="1">
        <f t="array" aca="1" ref="I36" ca="1">IF(ROWS(G$18:G36)&gt;I$8-I$7+1,
   NA(),
   IF(OR(I$7="",I$8="",I$7=I$8),
      NA(),
      (INDIRECT(ADDRESS(I$7+ROWS($B$18:G36)-1,COLUMN(INDIRECT(I$9&amp;1)),,,I$6))-I$10)/(I$11-I$10)*(I$13-I$12))*IF(I$14&lt;&gt;"",I$14,1))</f>
        <v>46295.968981481485</v>
      </c>
      <c r="J36" s="4" cm="1">
        <f t="array" aca="1" ref="J36" ca="1">IF(ROWS(H$18:H36)&gt;J$8-J$7+1,
   NA(),
   IF(OR(J$7="",J$8="",J$7=J$8),
      NA(),
      (INDIRECT(ADDRESS(J$7+ROWS($B$18:H36)-1,COLUMN(INDIRECT(J$9&amp;1)),,,J$6))-J$10)/(J$11-J$10)*(J$13-J$12))*IF(J$14&lt;&gt;"",J$14,1))</f>
        <v>-0.1</v>
      </c>
      <c r="K36" s="4" cm="1">
        <f t="array" aca="1" ref="K36" ca="1">IF(ROWS(I$18:I36)&gt;K$8-K$7+1,
   NA(),
   IF(OR(K$7="",K$8="",K$7=K$8),
      NA(),
      (INDIRECT(ADDRESS(K$7+ROWS($B$18:I36)-1,COLUMN(INDIRECT(K$9&amp;1)),,,K$6))-K$10)/(K$11-K$10)*(K$13-K$12))*IF(K$14&lt;&gt;"",K$14,1))</f>
        <v>227.42483520507801</v>
      </c>
      <c r="L36" s="4" cm="1">
        <f t="array" aca="1" ref="L36" ca="1">IF(ROWS(J$18:J36)&gt;L$8-L$7+1,
   NA(),
   IF(OR(L$7="",L$8="",L$7=L$8),
      NA(),
      (INDIRECT(ADDRESS(L$7+ROWS($B$18:J36)-1,COLUMN(INDIRECT(L$9&amp;1)),,,L$6))-L$10)/(L$11-L$10)*(L$13-L$12))*IF(L$14&lt;&gt;"",L$14,1))</f>
        <v>-436.178625488281</v>
      </c>
    </row>
    <row r="37" spans="3:12" x14ac:dyDescent="0.2">
      <c r="C37" s="3" cm="1">
        <f t="array" aca="1" ref="C37" ca="1">IF(ROWS(A$18:A37)&gt;C$8-C$7+1,
   NA(),
   IF(OR(C$7="",C$8="",C$7=C$8),
      NA(),
      (INDIRECT(ADDRESS(C$7+ROWS(A$18:$B37)-1,COLUMN(INDIRECT(C$9&amp;1)),,,C$6))-C$10)/(C$11-C$10)*(C$13-C$12))*IF(C$14&lt;&gt;"",C$14,1))</f>
        <v>46295.943935185183</v>
      </c>
      <c r="D37" s="4" cm="1">
        <f t="array" aca="1" ref="D37" ca="1">IF(ROWS(B$18:B37)&gt;D$8-D$7+1,
   NA(),
   IF(OR(D$7="",D$8="",D$7=D$8),
      NA(),
      (INDIRECT(ADDRESS(D$7+ROWS($B$18:B37)-1,COLUMN(INDIRECT(D$9&amp;1)),,,D$6))-D$10)/(D$11-D$10)*(D$13-D$12))*IF(D$14&lt;&gt;"",D$14,1))</f>
        <v>3.8</v>
      </c>
      <c r="E37" s="4" t="e" cm="1">
        <f t="array" aca="1" ref="E37" ca="1">IF(ROWS(C$18:C37)&gt;E$8-E$7+1,
   NA(),
   IF(OR(E$7="",E$8="",E$7=E$8),
      NA(),
      (INDIRECT(ADDRESS(E$7+ROWS($B$18:C37)-1,COLUMN(INDIRECT(E$9&amp;1)),,,E$6))-E$10)/(E$11-E$10)*(E$13-E$12))*IF(E$14&lt;&gt;"",E$14,1))</f>
        <v>#VALUE!</v>
      </c>
      <c r="F37" s="4" cm="1">
        <f t="array" aca="1" ref="F37" ca="1">IF(ROWS(D$18:D37)&gt;F$8-F$7+1,
   NA(),
   IF(OR(F$7="",F$8="",F$7=F$8),
      NA(),
      (INDIRECT(ADDRESS(F$7+ROWS($B$18:D37)-1,COLUMN(INDIRECT(F$9&amp;1)),,,F$6))-F$10)/(F$11-F$10)*(F$13-F$12))*IF(F$14&lt;&gt;"",F$14,1))</f>
        <v>208.56170654297</v>
      </c>
      <c r="I37" s="3" cm="1">
        <f t="array" aca="1" ref="I37" ca="1">IF(ROWS(G$18:G37)&gt;I$8-I$7+1,
   NA(),
   IF(OR(I$7="",I$8="",I$7=I$8),
      NA(),
      (INDIRECT(ADDRESS(I$7+ROWS($B$18:G37)-1,COLUMN(INDIRECT(I$9&amp;1)),,,I$6))-I$10)/(I$11-I$10)*(I$13-I$12))*IF(I$14&lt;&gt;"",I$14,1))</f>
        <v>46295.9690162037</v>
      </c>
      <c r="J37" s="4" cm="1">
        <f t="array" aca="1" ref="J37" ca="1">IF(ROWS(H$18:H37)&gt;J$8-J$7+1,
   NA(),
   IF(OR(J$7="",J$8="",J$7=J$8),
      NA(),
      (INDIRECT(ADDRESS(J$7+ROWS($B$18:H37)-1,COLUMN(INDIRECT(J$9&amp;1)),,,J$6))-J$10)/(J$11-J$10)*(J$13-J$12))*IF(J$14&lt;&gt;"",J$14,1))</f>
        <v>-0.05</v>
      </c>
      <c r="K37" s="4" cm="1">
        <f t="array" aca="1" ref="K37" ca="1">IF(ROWS(I$18:I37)&gt;K$8-K$7+1,
   NA(),
   IF(OR(K$7="",K$8="",K$7=K$8),
      NA(),
      (INDIRECT(ADDRESS(K$7+ROWS($B$18:I37)-1,COLUMN(INDIRECT(K$9&amp;1)),,,K$6))-K$10)/(K$11-K$10)*(K$13-K$12))*IF(K$14&lt;&gt;"",K$14,1))</f>
        <v>220.645095825195</v>
      </c>
      <c r="L37" s="4" cm="1">
        <f t="array" aca="1" ref="L37" ca="1">IF(ROWS(J$18:J37)&gt;L$8-L$7+1,
   NA(),
   IF(OR(L$7="",L$8="",L$7=L$8),
      NA(),
      (INDIRECT(ADDRESS(L$7+ROWS($B$18:J37)-1,COLUMN(INDIRECT(L$9&amp;1)),,,L$6))-L$10)/(L$11-L$10)*(L$13-L$12))*IF(L$14&lt;&gt;"",L$14,1))</f>
        <v>-436.16184082031299</v>
      </c>
    </row>
    <row r="38" spans="3:12" x14ac:dyDescent="0.2">
      <c r="C38" s="3" cm="1">
        <f t="array" aca="1" ref="C38" ca="1">IF(ROWS(A$18:A38)&gt;C$8-C$7+1,
   NA(),
   IF(OR(C$7="",C$8="",C$7=C$8),
      NA(),
      (INDIRECT(ADDRESS(C$7+ROWS(A$18:$B38)-1,COLUMN(INDIRECT(C$9&amp;1)),,,C$6))-C$10)/(C$11-C$10)*(C$13-C$12))*IF(C$14&lt;&gt;"",C$14,1))</f>
        <v>46295.943969907406</v>
      </c>
      <c r="D38" s="4" cm="1">
        <f t="array" aca="1" ref="D38" ca="1">IF(ROWS(B$18:B38)&gt;D$8-D$7+1,
   NA(),
   IF(OR(D$7="",D$8="",D$7=D$8),
      NA(),
      (INDIRECT(ADDRESS(D$7+ROWS($B$18:B38)-1,COLUMN(INDIRECT(D$9&amp;1)),,,D$6))-D$10)/(D$11-D$10)*(D$13-D$12))*IF(D$14&lt;&gt;"",D$14,1))</f>
        <v>3.7</v>
      </c>
      <c r="E38" s="4" t="e" cm="1">
        <f t="array" aca="1" ref="E38" ca="1">IF(ROWS(C$18:C38)&gt;E$8-E$7+1,
   NA(),
   IF(OR(E$7="",E$8="",E$7=E$8),
      NA(),
      (INDIRECT(ADDRESS(E$7+ROWS($B$18:C38)-1,COLUMN(INDIRECT(E$9&amp;1)),,,E$6))-E$10)/(E$11-E$10)*(E$13-E$12))*IF(E$14&lt;&gt;"",E$14,1))</f>
        <v>#VALUE!</v>
      </c>
      <c r="F38" s="4" cm="1">
        <f t="array" aca="1" ref="F38" ca="1">IF(ROWS(D$18:D38)&gt;F$8-F$7+1,
   NA(),
   IF(OR(F$7="",F$8="",F$7=F$8),
      NA(),
      (INDIRECT(ADDRESS(F$7+ROWS($B$18:D38)-1,COLUMN(INDIRECT(F$9&amp;1)),,,F$6))-F$10)/(F$11-F$10)*(F$13-F$12))*IF(F$14&lt;&gt;"",F$14,1))</f>
        <v>203.411865234375</v>
      </c>
      <c r="I38" s="3" cm="1">
        <f t="array" aca="1" ref="I38" ca="1">IF(ROWS(G$18:G38)&gt;I$8-I$7+1,
   NA(),
   IF(OR(I$7="",I$8="",I$7=I$8),
      NA(),
      (INDIRECT(ADDRESS(I$7+ROWS($B$18:G38)-1,COLUMN(INDIRECT(I$9&amp;1)),,,I$6))-I$10)/(I$11-I$10)*(I$13-I$12))*IF(I$14&lt;&gt;"",I$14,1))</f>
        <v>46295.969050925924</v>
      </c>
      <c r="J38" s="4" cm="1">
        <f t="array" aca="1" ref="J38" ca="1">IF(ROWS(H$18:H38)&gt;J$8-J$7+1,
   NA(),
   IF(OR(J$7="",J$8="",J$7=J$8),
      NA(),
      (INDIRECT(ADDRESS(J$7+ROWS($B$18:H38)-1,COLUMN(INDIRECT(J$9&amp;1)),,,J$6))-J$10)/(J$11-J$10)*(J$13-J$12))*IF(J$14&lt;&gt;"",J$14,1))</f>
        <v>0</v>
      </c>
      <c r="K38" s="4" cm="1">
        <f t="array" aca="1" ref="K38" ca="1">IF(ROWS(I$18:I38)&gt;K$8-K$7+1,
   NA(),
   IF(OR(K$7="",K$8="",K$7=K$8),
      NA(),
      (INDIRECT(ADDRESS(K$7+ROWS($B$18:I38)-1,COLUMN(INDIRECT(K$9&amp;1)),,,K$6))-K$10)/(K$11-K$10)*(K$13-K$12))*IF(K$14&lt;&gt;"",K$14,1))</f>
        <v>209.14561462402301</v>
      </c>
      <c r="L38" s="4" cm="1">
        <f t="array" aca="1" ref="L38" ca="1">IF(ROWS(J$18:J38)&gt;L$8-L$7+1,
   NA(),
   IF(OR(L$7="",L$8="",L$7=L$8),
      NA(),
      (INDIRECT(ADDRESS(L$7+ROWS($B$18:J38)-1,COLUMN(INDIRECT(L$9&amp;1)),,,L$6))-L$10)/(L$11-L$10)*(L$13-L$12))*IF(L$14&lt;&gt;"",L$14,1))</f>
        <v>-436.266363525391</v>
      </c>
    </row>
    <row r="39" spans="3:12" x14ac:dyDescent="0.2">
      <c r="C39" s="3" cm="1">
        <f t="array" aca="1" ref="C39" ca="1">IF(ROWS(A$18:A39)&gt;C$8-C$7+1,
   NA(),
   IF(OR(C$7="",C$8="",C$7=C$8),
      NA(),
      (INDIRECT(ADDRESS(C$7+ROWS(A$18:$B39)-1,COLUMN(INDIRECT(C$9&amp;1)),,,C$6))-C$10)/(C$11-C$10)*(C$13-C$12))*IF(C$14&lt;&gt;"",C$14,1))</f>
        <v>46295.944004629629</v>
      </c>
      <c r="D39" s="4" cm="1">
        <f t="array" aca="1" ref="D39" ca="1">IF(ROWS(B$18:B39)&gt;D$8-D$7+1,
   NA(),
   IF(OR(D$7="",D$8="",D$7=D$8),
      NA(),
      (INDIRECT(ADDRESS(D$7+ROWS($B$18:B39)-1,COLUMN(INDIRECT(D$9&amp;1)),,,D$6))-D$10)/(D$11-D$10)*(D$13-D$12))*IF(D$14&lt;&gt;"",D$14,1))</f>
        <v>3.6</v>
      </c>
      <c r="E39" s="4" t="e" cm="1">
        <f t="array" aca="1" ref="E39" ca="1">IF(ROWS(C$18:C39)&gt;E$8-E$7+1,
   NA(),
   IF(OR(E$7="",E$8="",E$7=E$8),
      NA(),
      (INDIRECT(ADDRESS(E$7+ROWS($B$18:C39)-1,COLUMN(INDIRECT(E$9&amp;1)),,,E$6))-E$10)/(E$11-E$10)*(E$13-E$12))*IF(E$14&lt;&gt;"",E$14,1))</f>
        <v>#VALUE!</v>
      </c>
      <c r="F39" s="4" cm="1">
        <f t="array" aca="1" ref="F39" ca="1">IF(ROWS(D$18:D39)&gt;F$8-F$7+1,
   NA(),
   IF(OR(F$7="",F$8="",F$7=F$8),
      NA(),
      (INDIRECT(ADDRESS(F$7+ROWS($B$18:D39)-1,COLUMN(INDIRECT(F$9&amp;1)),,,F$6))-F$10)/(F$11-F$10)*(F$13-F$12))*IF(F$14&lt;&gt;"",F$14,1))</f>
        <v>194.325256347655</v>
      </c>
      <c r="I39" s="3" cm="1">
        <f t="array" aca="1" ref="I39" ca="1">IF(ROWS(G$18:G39)&gt;I$8-I$7+1,
   NA(),
   IF(OR(I$7="",I$8="",I$7=I$8),
      NA(),
      (INDIRECT(ADDRESS(I$7+ROWS($B$18:G39)-1,COLUMN(INDIRECT(I$9&amp;1)),,,I$6))-I$10)/(I$11-I$10)*(I$13-I$12))*IF(I$14&lt;&gt;"",I$14,1))</f>
        <v>46295.969085648147</v>
      </c>
      <c r="J39" s="4" cm="1">
        <f t="array" aca="1" ref="J39" ca="1">IF(ROWS(H$18:H39)&gt;J$8-J$7+1,
   NA(),
   IF(OR(J$7="",J$8="",J$7=J$8),
      NA(),
      (INDIRECT(ADDRESS(J$7+ROWS($B$18:H39)-1,COLUMN(INDIRECT(J$9&amp;1)),,,J$6))-J$10)/(J$11-J$10)*(J$13-J$12))*IF(J$14&lt;&gt;"",J$14,1))</f>
        <v>0.05</v>
      </c>
      <c r="K39" s="4" cm="1">
        <f t="array" aca="1" ref="K39" ca="1">IF(ROWS(I$18:I39)&gt;K$8-K$7+1,
   NA(),
   IF(OR(K$7="",K$8="",K$7=K$8),
      NA(),
      (INDIRECT(ADDRESS(K$7+ROWS($B$18:I39)-1,COLUMN(INDIRECT(K$9&amp;1)),,,K$6))-K$10)/(K$11-K$10)*(K$13-K$12))*IF(K$14&lt;&gt;"",K$14,1))</f>
        <v>201.55625915527301</v>
      </c>
      <c r="L39" s="4" cm="1">
        <f t="array" aca="1" ref="L39" ca="1">IF(ROWS(J$18:J39)&gt;L$8-L$7+1,
   NA(),
   IF(OR(L$7="",L$8="",L$7=L$8),
      NA(),
      (INDIRECT(ADDRESS(L$7+ROWS($B$18:J39)-1,COLUMN(INDIRECT(L$9&amp;1)),,,L$6))-L$10)/(L$11-L$10)*(L$13-L$12))*IF(L$14&lt;&gt;"",L$14,1))</f>
        <v>-436.29749145507799</v>
      </c>
    </row>
    <row r="40" spans="3:12" x14ac:dyDescent="0.2">
      <c r="C40" s="3" cm="1">
        <f t="array" aca="1" ref="C40" ca="1">IF(ROWS(A$18:A40)&gt;C$8-C$7+1,
   NA(),
   IF(OR(C$7="",C$8="",C$7=C$8),
      NA(),
      (INDIRECT(ADDRESS(C$7+ROWS(A$18:$B40)-1,COLUMN(INDIRECT(C$9&amp;1)),,,C$6))-C$10)/(C$11-C$10)*(C$13-C$12))*IF(C$14&lt;&gt;"",C$14,1))</f>
        <v>46295.944039351853</v>
      </c>
      <c r="D40" s="4" cm="1">
        <f t="array" aca="1" ref="D40" ca="1">IF(ROWS(B$18:B40)&gt;D$8-D$7+1,
   NA(),
   IF(OR(D$7="",D$8="",D$7=D$8),
      NA(),
      (INDIRECT(ADDRESS(D$7+ROWS($B$18:B40)-1,COLUMN(INDIRECT(D$9&amp;1)),,,D$6))-D$10)/(D$11-D$10)*(D$13-D$12))*IF(D$14&lt;&gt;"",D$14,1))</f>
        <v>3.5</v>
      </c>
      <c r="E40" s="4" t="e" cm="1">
        <f t="array" aca="1" ref="E40" ca="1">IF(ROWS(C$18:C40)&gt;E$8-E$7+1,
   NA(),
   IF(OR(E$7="",E$8="",E$7=E$8),
      NA(),
      (INDIRECT(ADDRESS(E$7+ROWS($B$18:C40)-1,COLUMN(INDIRECT(E$9&amp;1)),,,E$6))-E$10)/(E$11-E$10)*(E$13-E$12))*IF(E$14&lt;&gt;"",E$14,1))</f>
        <v>#VALUE!</v>
      </c>
      <c r="F40" s="4" cm="1">
        <f t="array" aca="1" ref="F40" ca="1">IF(ROWS(D$18:D40)&gt;F$8-F$7+1,
   NA(),
   IF(OR(F$7="",F$8="",F$7=F$8),
      NA(),
      (INDIRECT(ADDRESS(F$7+ROWS($B$18:D40)-1,COLUMN(INDIRECT(F$9&amp;1)),,,F$6))-F$10)/(F$11-F$10)*(F$13-F$12))*IF(F$14&lt;&gt;"",F$14,1))</f>
        <v>195.73669433594</v>
      </c>
      <c r="I40" s="3" cm="1">
        <f t="array" aca="1" ref="I40" ca="1">IF(ROWS(G$18:G40)&gt;I$8-I$7+1,
   NA(),
   IF(OR(I$7="",I$8="",I$7=I$8),
      NA(),
      (INDIRECT(ADDRESS(I$7+ROWS($B$18:G40)-1,COLUMN(INDIRECT(I$9&amp;1)),,,I$6))-I$10)/(I$11-I$10)*(I$13-I$12))*IF(I$14&lt;&gt;"",I$14,1))</f>
        <v>46295.96912037037</v>
      </c>
      <c r="J40" s="4" cm="1">
        <f t="array" aca="1" ref="J40" ca="1">IF(ROWS(H$18:H40)&gt;J$8-J$7+1,
   NA(),
   IF(OR(J$7="",J$8="",J$7=J$8),
      NA(),
      (INDIRECT(ADDRESS(J$7+ROWS($B$18:H40)-1,COLUMN(INDIRECT(J$9&amp;1)),,,J$6))-J$10)/(J$11-J$10)*(J$13-J$12))*IF(J$14&lt;&gt;"",J$14,1))</f>
        <v>0.1</v>
      </c>
      <c r="K40" s="4" cm="1">
        <f t="array" aca="1" ref="K40" ca="1">IF(ROWS(I$18:I40)&gt;K$8-K$7+1,
   NA(),
   IF(OR(K$7="",K$8="",K$7=K$8),
      NA(),
      (INDIRECT(ADDRESS(K$7+ROWS($B$18:I40)-1,COLUMN(INDIRECT(K$9&amp;1)),,,K$6))-K$10)/(K$11-K$10)*(K$13-K$12))*IF(K$14&lt;&gt;"",K$14,1))</f>
        <v>194.64073181152301</v>
      </c>
      <c r="L40" s="4" cm="1">
        <f t="array" aca="1" ref="L40" ca="1">IF(ROWS(J$18:J40)&gt;L$8-L$7+1,
   NA(),
   IF(OR(L$7="",L$8="",L$7=L$8),
      NA(),
      (INDIRECT(ADDRESS(L$7+ROWS($B$18:J40)-1,COLUMN(INDIRECT(L$9&amp;1)),,,L$6))-L$10)/(L$11-L$10)*(L$13-L$12))*IF(L$14&lt;&gt;"",L$14,1))</f>
        <v>-436.36585083007799</v>
      </c>
    </row>
    <row r="41" spans="3:12" x14ac:dyDescent="0.2">
      <c r="C41" s="3" cm="1">
        <f t="array" aca="1" ref="C41" ca="1">IF(ROWS(A$18:A41)&gt;C$8-C$7+1,
   NA(),
   IF(OR(C$7="",C$8="",C$7=C$8),
      NA(),
      (INDIRECT(ADDRESS(C$7+ROWS(A$18:$B41)-1,COLUMN(INDIRECT(C$9&amp;1)),,,C$6))-C$10)/(C$11-C$10)*(C$13-C$12))*IF(C$14&lt;&gt;"",C$14,1))</f>
        <v>46295.944074074076</v>
      </c>
      <c r="D41" s="4" cm="1">
        <f t="array" aca="1" ref="D41" ca="1">IF(ROWS(B$18:B41)&gt;D$8-D$7+1,
   NA(),
   IF(OR(D$7="",D$8="",D$7=D$8),
      NA(),
      (INDIRECT(ADDRESS(D$7+ROWS($B$18:B41)-1,COLUMN(INDIRECT(D$9&amp;1)),,,D$6))-D$10)/(D$11-D$10)*(D$13-D$12))*IF(D$14&lt;&gt;"",D$14,1))</f>
        <v>3.4</v>
      </c>
      <c r="E41" s="4" t="e" cm="1">
        <f t="array" aca="1" ref="E41" ca="1">IF(ROWS(C$18:C41)&gt;E$8-E$7+1,
   NA(),
   IF(OR(E$7="",E$8="",E$7=E$8),
      NA(),
      (INDIRECT(ADDRESS(E$7+ROWS($B$18:C41)-1,COLUMN(INDIRECT(E$9&amp;1)),,,E$6))-E$10)/(E$11-E$10)*(E$13-E$12))*IF(E$14&lt;&gt;"",E$14,1))</f>
        <v>#VALUE!</v>
      </c>
      <c r="F41" s="4" cm="1">
        <f t="array" aca="1" ref="F41" ca="1">IF(ROWS(D$18:D41)&gt;F$8-F$7+1,
   NA(),
   IF(OR(F$7="",F$8="",F$7=F$8),
      NA(),
      (INDIRECT(ADDRESS(F$7+ROWS($B$18:D41)-1,COLUMN(INDIRECT(F$9&amp;1)),,,F$6))-F$10)/(F$11-F$10)*(F$13-F$12))*IF(F$14&lt;&gt;"",F$14,1))</f>
        <v>187.893676757815</v>
      </c>
      <c r="I41" s="3" cm="1">
        <f t="array" aca="1" ref="I41" ca="1">IF(ROWS(G$18:G41)&gt;I$8-I$7+1,
   NA(),
   IF(OR(I$7="",I$8="",I$7=I$8),
      NA(),
      (INDIRECT(ADDRESS(I$7+ROWS($B$18:G41)-1,COLUMN(INDIRECT(I$9&amp;1)),,,I$6))-I$10)/(I$11-I$10)*(I$13-I$12))*IF(I$14&lt;&gt;"",I$14,1))</f>
        <v>46295.969155092593</v>
      </c>
      <c r="J41" s="4" cm="1">
        <f t="array" aca="1" ref="J41" ca="1">IF(ROWS(H$18:H41)&gt;J$8-J$7+1,
   NA(),
   IF(OR(J$7="",J$8="",J$7=J$8),
      NA(),
      (INDIRECT(ADDRESS(J$7+ROWS($B$18:H41)-1,COLUMN(INDIRECT(J$9&amp;1)),,,J$6))-J$10)/(J$11-J$10)*(J$13-J$12))*IF(J$14&lt;&gt;"",J$14,1))</f>
        <v>0.15</v>
      </c>
      <c r="K41" s="4" cm="1">
        <f t="array" aca="1" ref="K41" ca="1">IF(ROWS(I$18:I41)&gt;K$8-K$7+1,
   NA(),
   IF(OR(K$7="",K$8="",K$7=K$8),
      NA(),
      (INDIRECT(ADDRESS(K$7+ROWS($B$18:I41)-1,COLUMN(INDIRECT(K$9&amp;1)),,,K$6))-K$10)/(K$11-K$10)*(K$13-K$12))*IF(K$14&lt;&gt;"",K$14,1))</f>
        <v>188.94871520996099</v>
      </c>
      <c r="L41" s="4" cm="1">
        <f t="array" aca="1" ref="L41" ca="1">IF(ROWS(J$18:J41)&gt;L$8-L$7+1,
   NA(),
   IF(OR(L$7="",L$8="",L$7=L$8),
      NA(),
      (INDIRECT(ADDRESS(L$7+ROWS($B$18:J41)-1,COLUMN(INDIRECT(L$9&amp;1)),,,L$6))-L$10)/(L$11-L$10)*(L$13-L$12))*IF(L$14&lt;&gt;"",L$14,1))</f>
        <v>-436.35700073242197</v>
      </c>
    </row>
    <row r="42" spans="3:12" x14ac:dyDescent="0.2">
      <c r="C42" s="3" cm="1">
        <f t="array" aca="1" ref="C42" ca="1">IF(ROWS(A$18:A42)&gt;C$8-C$7+1,
   NA(),
   IF(OR(C$7="",C$8="",C$7=C$8),
      NA(),
      (INDIRECT(ADDRESS(C$7+ROWS(A$18:$B42)-1,COLUMN(INDIRECT(C$9&amp;1)),,,C$6))-C$10)/(C$11-C$10)*(C$13-C$12))*IF(C$14&lt;&gt;"",C$14,1))</f>
        <v>46295.944108796299</v>
      </c>
      <c r="D42" s="4" cm="1">
        <f t="array" aca="1" ref="D42" ca="1">IF(ROWS(B$18:B42)&gt;D$8-D$7+1,
   NA(),
   IF(OR(D$7="",D$8="",D$7=D$8),
      NA(),
      (INDIRECT(ADDRESS(D$7+ROWS($B$18:B42)-1,COLUMN(INDIRECT(D$9&amp;1)),,,D$6))-D$10)/(D$11-D$10)*(D$13-D$12))*IF(D$14&lt;&gt;"",D$14,1))</f>
        <v>3.3</v>
      </c>
      <c r="E42" s="4" t="e" cm="1">
        <f t="array" aca="1" ref="E42" ca="1">IF(ROWS(C$18:C42)&gt;E$8-E$7+1,
   NA(),
   IF(OR(E$7="",E$8="",E$7=E$8),
      NA(),
      (INDIRECT(ADDRESS(E$7+ROWS($B$18:C42)-1,COLUMN(INDIRECT(E$9&amp;1)),,,E$6))-E$10)/(E$11-E$10)*(E$13-E$12))*IF(E$14&lt;&gt;"",E$14,1))</f>
        <v>#VALUE!</v>
      </c>
      <c r="F42" s="4" cm="1">
        <f t="array" aca="1" ref="F42" ca="1">IF(ROWS(D$18:D42)&gt;F$8-F$7+1,
   NA(),
   IF(OR(F$7="",F$8="",F$7=F$8),
      NA(),
      (INDIRECT(ADDRESS(F$7+ROWS($B$18:D42)-1,COLUMN(INDIRECT(F$9&amp;1)),,,F$6))-F$10)/(F$11-F$10)*(F$13-F$12))*IF(F$14&lt;&gt;"",F$14,1))</f>
        <v>186.077880859375</v>
      </c>
      <c r="I42" s="3" cm="1">
        <f t="array" aca="1" ref="I42" ca="1">IF(ROWS(G$18:G42)&gt;I$8-I$7+1,
   NA(),
   IF(OR(I$7="",I$8="",I$7=I$8),
      NA(),
      (INDIRECT(ADDRESS(I$7+ROWS($B$18:G42)-1,COLUMN(INDIRECT(I$9&amp;1)),,,I$6))-I$10)/(I$11-I$10)*(I$13-I$12))*IF(I$14&lt;&gt;"",I$14,1))</f>
        <v>46295.969189814816</v>
      </c>
      <c r="J42" s="4" cm="1">
        <f t="array" aca="1" ref="J42" ca="1">IF(ROWS(H$18:H42)&gt;J$8-J$7+1,
   NA(),
   IF(OR(J$7="",J$8="",J$7=J$8),
      NA(),
      (INDIRECT(ADDRESS(J$7+ROWS($B$18:H42)-1,COLUMN(INDIRECT(J$9&amp;1)),,,J$6))-J$10)/(J$11-J$10)*(J$13-J$12))*IF(J$14&lt;&gt;"",J$14,1))</f>
        <v>0.2</v>
      </c>
      <c r="K42" s="4" cm="1">
        <f t="array" aca="1" ref="K42" ca="1">IF(ROWS(I$18:I42)&gt;K$8-K$7+1,
   NA(),
   IF(OR(K$7="",K$8="",K$7=K$8),
      NA(),
      (INDIRECT(ADDRESS(K$7+ROWS($B$18:I42)-1,COLUMN(INDIRECT(K$9&amp;1)),,,K$6))-K$10)/(K$11-K$10)*(K$13-K$12))*IF(K$14&lt;&gt;"",K$14,1))</f>
        <v>182.52478027343801</v>
      </c>
      <c r="L42" s="4" cm="1">
        <f t="array" aca="1" ref="L42" ca="1">IF(ROWS(J$18:J42)&gt;L$8-L$7+1,
   NA(),
   IF(OR(L$7="",L$8="",L$7=L$8),
      NA(),
      (INDIRECT(ADDRESS(L$7+ROWS($B$18:J42)-1,COLUMN(INDIRECT(L$9&amp;1)),,,L$6))-L$10)/(L$11-L$10)*(L$13-L$12))*IF(L$14&lt;&gt;"",L$14,1))</f>
        <v>-434.50809326171895</v>
      </c>
    </row>
    <row r="43" spans="3:12" x14ac:dyDescent="0.2">
      <c r="C43" s="3" cm="1">
        <f t="array" aca="1" ref="C43" ca="1">IF(ROWS(A$18:A43)&gt;C$8-C$7+1,
   NA(),
   IF(OR(C$7="",C$8="",C$7=C$8),
      NA(),
      (INDIRECT(ADDRESS(C$7+ROWS(A$18:$B43)-1,COLUMN(INDIRECT(C$9&amp;1)),,,C$6))-C$10)/(C$11-C$10)*(C$13-C$12))*IF(C$14&lt;&gt;"",C$14,1))</f>
        <v>46295.944143518522</v>
      </c>
      <c r="D43" s="4" cm="1">
        <f t="array" aca="1" ref="D43" ca="1">IF(ROWS(B$18:B43)&gt;D$8-D$7+1,
   NA(),
   IF(OR(D$7="",D$8="",D$7=D$8),
      NA(),
      (INDIRECT(ADDRESS(D$7+ROWS($B$18:B43)-1,COLUMN(INDIRECT(D$9&amp;1)),,,D$6))-D$10)/(D$11-D$10)*(D$13-D$12))*IF(D$14&lt;&gt;"",D$14,1))</f>
        <v>3.2</v>
      </c>
      <c r="E43" s="4" t="e" cm="1">
        <f t="array" aca="1" ref="E43" ca="1">IF(ROWS(C$18:C43)&gt;E$8-E$7+1,
   NA(),
   IF(OR(E$7="",E$8="",E$7=E$8),
      NA(),
      (INDIRECT(ADDRESS(E$7+ROWS($B$18:C43)-1,COLUMN(INDIRECT(E$9&amp;1)),,,E$6))-E$10)/(E$11-E$10)*(E$13-E$12))*IF(E$14&lt;&gt;"",E$14,1))</f>
        <v>#VALUE!</v>
      </c>
      <c r="F43" s="4" cm="1">
        <f t="array" aca="1" ref="F43" ca="1">IF(ROWS(D$18:D43)&gt;F$8-F$7+1,
   NA(),
   IF(OR(F$7="",F$8="",F$7=F$8),
      NA(),
      (INDIRECT(ADDRESS(F$7+ROWS($B$18:D43)-1,COLUMN(INDIRECT(F$9&amp;1)),,,F$6))-F$10)/(F$11-F$10)*(F$13-F$12))*IF(F$14&lt;&gt;"",F$14,1))</f>
        <v>175.53405761719</v>
      </c>
      <c r="I43" s="3" cm="1">
        <f t="array" aca="1" ref="I43" ca="1">IF(ROWS(G$18:G43)&gt;I$8-I$7+1,
   NA(),
   IF(OR(I$7="",I$8="",I$7=I$8),
      NA(),
      (INDIRECT(ADDRESS(I$7+ROWS($B$18:G43)-1,COLUMN(INDIRECT(I$9&amp;1)),,,I$6))-I$10)/(I$11-I$10)*(I$13-I$12))*IF(I$14&lt;&gt;"",I$14,1))</f>
        <v>46295.969236111108</v>
      </c>
      <c r="J43" s="4" cm="1">
        <f t="array" aca="1" ref="J43" ca="1">IF(ROWS(H$18:H43)&gt;J$8-J$7+1,
   NA(),
   IF(OR(J$7="",J$8="",J$7=J$8),
      NA(),
      (INDIRECT(ADDRESS(J$7+ROWS($B$18:H43)-1,COLUMN(INDIRECT(J$9&amp;1)),,,J$6))-J$10)/(J$11-J$10)*(J$13-J$12))*IF(J$14&lt;&gt;"",J$14,1))</f>
        <v>0.25</v>
      </c>
      <c r="K43" s="4" cm="1">
        <f t="array" aca="1" ref="K43" ca="1">IF(ROWS(I$18:I43)&gt;K$8-K$7+1,
   NA(),
   IF(OR(K$7="",K$8="",K$7=K$8),
      NA(),
      (INDIRECT(ADDRESS(K$7+ROWS($B$18:I43)-1,COLUMN(INDIRECT(K$9&amp;1)),,,K$6))-K$10)/(K$11-K$10)*(K$13-K$12))*IF(K$14&lt;&gt;"",K$14,1))</f>
        <v>173.90434265136699</v>
      </c>
      <c r="L43" s="4" cm="1">
        <f t="array" aca="1" ref="L43" ca="1">IF(ROWS(J$18:J43)&gt;L$8-L$7+1,
   NA(),
   IF(OR(L$7="",L$8="",L$7=L$8),
      NA(),
      (INDIRECT(ADDRESS(L$7+ROWS($B$18:J43)-1,COLUMN(INDIRECT(L$9&amp;1)),,,L$6))-L$10)/(L$11-L$10)*(L$13-L$12))*IF(L$14&lt;&gt;"",L$14,1))</f>
        <v>-436.35013427734395</v>
      </c>
    </row>
    <row r="44" spans="3:12" x14ac:dyDescent="0.2">
      <c r="C44" s="3" cm="1">
        <f t="array" aca="1" ref="C44" ca="1">IF(ROWS(A$18:A44)&gt;C$8-C$7+1,
   NA(),
   IF(OR(C$7="",C$8="",C$7=C$8),
      NA(),
      (INDIRECT(ADDRESS(C$7+ROWS(A$18:$B44)-1,COLUMN(INDIRECT(C$9&amp;1)),,,C$6))-C$10)/(C$11-C$10)*(C$13-C$12))*IF(C$14&lt;&gt;"",C$14,1))</f>
        <v>46295.944178240738</v>
      </c>
      <c r="D44" s="4" cm="1">
        <f t="array" aca="1" ref="D44" ca="1">IF(ROWS(B$18:B44)&gt;D$8-D$7+1,
   NA(),
   IF(OR(D$7="",D$8="",D$7=D$8),
      NA(),
      (INDIRECT(ADDRESS(D$7+ROWS($B$18:B44)-1,COLUMN(INDIRECT(D$9&amp;1)),,,D$6))-D$10)/(D$11-D$10)*(D$13-D$12))*IF(D$14&lt;&gt;"",D$14,1))</f>
        <v>3.1</v>
      </c>
      <c r="E44" s="4" t="e" cm="1">
        <f t="array" aca="1" ref="E44" ca="1">IF(ROWS(C$18:C44)&gt;E$8-E$7+1,
   NA(),
   IF(OR(E$7="",E$8="",E$7=E$8),
      NA(),
      (INDIRECT(ADDRESS(E$7+ROWS($B$18:C44)-1,COLUMN(INDIRECT(E$9&amp;1)),,,E$6))-E$10)/(E$11-E$10)*(E$13-E$12))*IF(E$14&lt;&gt;"",E$14,1))</f>
        <v>#VALUE!</v>
      </c>
      <c r="F44" s="4" cm="1">
        <f t="array" aca="1" ref="F44" ca="1">IF(ROWS(D$18:D44)&gt;F$8-F$7+1,
   NA(),
   IF(OR(F$7="",F$8="",F$7=F$8),
      NA(),
      (INDIRECT(ADDRESS(F$7+ROWS($B$18:D44)-1,COLUMN(INDIRECT(F$9&amp;1)),,,F$6))-F$10)/(F$11-F$10)*(F$13-F$12))*IF(F$14&lt;&gt;"",F$14,1))</f>
        <v>162.59460449219</v>
      </c>
      <c r="I44" s="3" cm="1">
        <f t="array" aca="1" ref="I44" ca="1">IF(ROWS(G$18:G44)&gt;I$8-I$7+1,
   NA(),
   IF(OR(I$7="",I$8="",I$7=I$8),
      NA(),
      (INDIRECT(ADDRESS(I$7+ROWS($B$18:G44)-1,COLUMN(INDIRECT(I$9&amp;1)),,,I$6))-I$10)/(I$11-I$10)*(I$13-I$12))*IF(I$14&lt;&gt;"",I$14,1))</f>
        <v>46295.969270833331</v>
      </c>
      <c r="J44" s="4" cm="1">
        <f t="array" aca="1" ref="J44" ca="1">IF(ROWS(H$18:H44)&gt;J$8-J$7+1,
   NA(),
   IF(OR(J$7="",J$8="",J$7=J$8),
      NA(),
      (INDIRECT(ADDRESS(J$7+ROWS($B$18:H44)-1,COLUMN(INDIRECT(J$9&amp;1)),,,J$6))-J$10)/(J$11-J$10)*(J$13-J$12))*IF(J$14&lt;&gt;"",J$14,1))</f>
        <v>0.3</v>
      </c>
      <c r="K44" s="4" cm="1">
        <f t="array" aca="1" ref="K44" ca="1">IF(ROWS(I$18:I44)&gt;K$8-K$7+1,
   NA(),
   IF(OR(K$7="",K$8="",K$7=K$8),
      NA(),
      (INDIRECT(ADDRESS(K$7+ROWS($B$18:I44)-1,COLUMN(INDIRECT(K$9&amp;1)),,,K$6))-K$10)/(K$11-K$10)*(K$13-K$12))*IF(K$14&lt;&gt;"",K$14,1))</f>
        <v>165.09294128418</v>
      </c>
      <c r="L44" s="4" cm="1">
        <f t="array" aca="1" ref="L44" ca="1">IF(ROWS(J$18:J44)&gt;L$8-L$7+1,
   NA(),
   IF(OR(L$7="",L$8="",L$7=L$8),
      NA(),
      (INDIRECT(ADDRESS(L$7+ROWS($B$18:J44)-1,COLUMN(INDIRECT(L$9&amp;1)),,,L$6))-L$10)/(L$11-L$10)*(L$13-L$12))*IF(L$14&lt;&gt;"",L$14,1))</f>
        <v>-436.777990722656</v>
      </c>
    </row>
    <row r="45" spans="3:12" x14ac:dyDescent="0.2">
      <c r="C45" s="3" cm="1">
        <f t="array" aca="1" ref="C45" ca="1">IF(ROWS(A$18:A45)&gt;C$8-C$7+1,
   NA(),
   IF(OR(C$7="",C$8="",C$7=C$8),
      NA(),
      (INDIRECT(ADDRESS(C$7+ROWS(A$18:$B45)-1,COLUMN(INDIRECT(C$9&amp;1)),,,C$6))-C$10)/(C$11-C$10)*(C$13-C$12))*IF(C$14&lt;&gt;"",C$14,1))</f>
        <v>46295.944212962961</v>
      </c>
      <c r="D45" s="4" cm="1">
        <f t="array" aca="1" ref="D45" ca="1">IF(ROWS(B$18:B45)&gt;D$8-D$7+1,
   NA(),
   IF(OR(D$7="",D$8="",D$7=D$8),
      NA(),
      (INDIRECT(ADDRESS(D$7+ROWS($B$18:B45)-1,COLUMN(INDIRECT(D$9&amp;1)),,,D$6))-D$10)/(D$11-D$10)*(D$13-D$12))*IF(D$14&lt;&gt;"",D$14,1))</f>
        <v>3</v>
      </c>
      <c r="E45" s="4" t="e" cm="1">
        <f t="array" aca="1" ref="E45" ca="1">IF(ROWS(C$18:C45)&gt;E$8-E$7+1,
   NA(),
   IF(OR(E$7="",E$8="",E$7=E$8),
      NA(),
      (INDIRECT(ADDRESS(E$7+ROWS($B$18:C45)-1,COLUMN(INDIRECT(E$9&amp;1)),,,E$6))-E$10)/(E$11-E$10)*(E$13-E$12))*IF(E$14&lt;&gt;"",E$14,1))</f>
        <v>#VALUE!</v>
      </c>
      <c r="F45" s="4" cm="1">
        <f t="array" aca="1" ref="F45" ca="1">IF(ROWS(D$18:D45)&gt;F$8-F$7+1,
   NA(),
   IF(OR(F$7="",F$8="",F$7=F$8),
      NA(),
      (INDIRECT(ADDRESS(F$7+ROWS($B$18:D45)-1,COLUMN(INDIRECT(F$9&amp;1)),,,F$6))-F$10)/(F$11-F$10)*(F$13-F$12))*IF(F$14&lt;&gt;"",F$14,1))</f>
        <v>173.573303222655</v>
      </c>
      <c r="I45" s="3" cm="1">
        <f t="array" aca="1" ref="I45" ca="1">IF(ROWS(G$18:G45)&gt;I$8-I$7+1,
   NA(),
   IF(OR(I$7="",I$8="",I$7=I$8),
      NA(),
      (INDIRECT(ADDRESS(I$7+ROWS($B$18:G45)-1,COLUMN(INDIRECT(I$9&amp;1)),,,I$6))-I$10)/(I$11-I$10)*(I$13-I$12))*IF(I$14&lt;&gt;"",I$14,1))</f>
        <v>46295.969305555554</v>
      </c>
      <c r="J45" s="4" cm="1">
        <f t="array" aca="1" ref="J45" ca="1">IF(ROWS(H$18:H45)&gt;J$8-J$7+1,
   NA(),
   IF(OR(J$7="",J$8="",J$7=J$8),
      NA(),
      (INDIRECT(ADDRESS(J$7+ROWS($B$18:H45)-1,COLUMN(INDIRECT(J$9&amp;1)),,,J$6))-J$10)/(J$11-J$10)*(J$13-J$12))*IF(J$14&lt;&gt;"",J$14,1))</f>
        <v>0.35</v>
      </c>
      <c r="K45" s="4" cm="1">
        <f t="array" aca="1" ref="K45" ca="1">IF(ROWS(I$18:I45)&gt;K$8-K$7+1,
   NA(),
   IF(OR(K$7="",K$8="",K$7=K$8),
      NA(),
      (INDIRECT(ADDRESS(K$7+ROWS($B$18:I45)-1,COLUMN(INDIRECT(K$9&amp;1)),,,K$6))-K$10)/(K$11-K$10)*(K$13-K$12))*IF(K$14&lt;&gt;"",K$14,1))</f>
        <v>156.82466125488301</v>
      </c>
      <c r="L45" s="4" cm="1">
        <f t="array" aca="1" ref="L45" ca="1">IF(ROWS(J$18:J45)&gt;L$8-L$7+1,
   NA(),
   IF(OR(L$7="",L$8="",L$7=L$8),
      NA(),
      (INDIRECT(ADDRESS(L$7+ROWS($B$18:J45)-1,COLUMN(INDIRECT(L$9&amp;1)),,,L$6))-L$10)/(L$11-L$10)*(L$13-L$12))*IF(L$14&lt;&gt;"",L$14,1))</f>
        <v>-436.74167480468799</v>
      </c>
    </row>
    <row r="46" spans="3:12" x14ac:dyDescent="0.2">
      <c r="C46" s="3" cm="1">
        <f t="array" aca="1" ref="C46" ca="1">IF(ROWS(A$18:A46)&gt;C$8-C$7+1,
   NA(),
   IF(OR(C$7="",C$8="",C$7=C$8),
      NA(),
      (INDIRECT(ADDRESS(C$7+ROWS(A$18:$B46)-1,COLUMN(INDIRECT(C$9&amp;1)),,,C$6))-C$10)/(C$11-C$10)*(C$13-C$12))*IF(C$14&lt;&gt;"",C$14,1))</f>
        <v>46295.944247685184</v>
      </c>
      <c r="D46" s="4" cm="1">
        <f t="array" aca="1" ref="D46" ca="1">IF(ROWS(B$18:B46)&gt;D$8-D$7+1,
   NA(),
   IF(OR(D$7="",D$8="",D$7=D$8),
      NA(),
      (INDIRECT(ADDRESS(D$7+ROWS($B$18:B46)-1,COLUMN(INDIRECT(D$9&amp;1)),,,D$6))-D$10)/(D$11-D$10)*(D$13-D$12))*IF(D$14&lt;&gt;"",D$14,1))</f>
        <v>2.9</v>
      </c>
      <c r="E46" s="4" t="e" cm="1">
        <f t="array" aca="1" ref="E46" ca="1">IF(ROWS(C$18:C46)&gt;E$8-E$7+1,
   NA(),
   IF(OR(E$7="",E$8="",E$7=E$8),
      NA(),
      (INDIRECT(ADDRESS(E$7+ROWS($B$18:C46)-1,COLUMN(INDIRECT(E$9&amp;1)),,,E$6))-E$10)/(E$11-E$10)*(E$13-E$12))*IF(E$14&lt;&gt;"",E$14,1))</f>
        <v>#VALUE!</v>
      </c>
      <c r="F46" s="4" cm="1">
        <f t="array" aca="1" ref="F46" ca="1">IF(ROWS(D$18:D46)&gt;F$8-F$7+1,
   NA(),
   IF(OR(F$7="",F$8="",F$7=F$8),
      NA(),
      (INDIRECT(ADDRESS(F$7+ROWS($B$18:D46)-1,COLUMN(INDIRECT(F$9&amp;1)),,,F$6))-F$10)/(F$11-F$10)*(F$13-F$12))*IF(F$14&lt;&gt;"",F$14,1))</f>
        <v>146.092224121095</v>
      </c>
      <c r="I46" s="3" cm="1">
        <f t="array" aca="1" ref="I46" ca="1">IF(ROWS(G$18:G46)&gt;I$8-I$7+1,
   NA(),
   IF(OR(I$7="",I$8="",I$7=I$8),
      NA(),
      (INDIRECT(ADDRESS(I$7+ROWS($B$18:G46)-1,COLUMN(INDIRECT(I$9&amp;1)),,,I$6))-I$10)/(I$11-I$10)*(I$13-I$12))*IF(I$14&lt;&gt;"",I$14,1))</f>
        <v>46295.969340277778</v>
      </c>
      <c r="J46" s="4" cm="1">
        <f t="array" aca="1" ref="J46" ca="1">IF(ROWS(H$18:H46)&gt;J$8-J$7+1,
   NA(),
   IF(OR(J$7="",J$8="",J$7=J$8),
      NA(),
      (INDIRECT(ADDRESS(J$7+ROWS($B$18:H46)-1,COLUMN(INDIRECT(J$9&amp;1)),,,J$6))-J$10)/(J$11-J$10)*(J$13-J$12))*IF(J$14&lt;&gt;"",J$14,1))</f>
        <v>0.4</v>
      </c>
      <c r="K46" s="4" cm="1">
        <f t="array" aca="1" ref="K46" ca="1">IF(ROWS(I$18:I46)&gt;K$8-K$7+1,
   NA(),
   IF(OR(K$7="",K$8="",K$7=K$8),
      NA(),
      (INDIRECT(ADDRESS(K$7+ROWS($B$18:I46)-1,COLUMN(INDIRECT(K$9&amp;1)),,,K$6))-K$10)/(K$11-K$10)*(K$13-K$12))*IF(K$14&lt;&gt;"",K$14,1))</f>
        <v>150.60111999511699</v>
      </c>
      <c r="L46" s="4" cm="1">
        <f t="array" aca="1" ref="L46" ca="1">IF(ROWS(J$18:J46)&gt;L$8-L$7+1,
   NA(),
   IF(OR(L$7="",L$8="",L$7=L$8),
      NA(),
      (INDIRECT(ADDRESS(L$7+ROWS($B$18:J46)-1,COLUMN(INDIRECT(L$9&amp;1)),,,L$6))-L$10)/(L$11-L$10)*(L$13-L$12))*IF(L$14&lt;&gt;"",L$14,1))</f>
        <v>-436.47662963867197</v>
      </c>
    </row>
    <row r="47" spans="3:12" x14ac:dyDescent="0.2">
      <c r="C47" s="3" cm="1">
        <f t="array" aca="1" ref="C47" ca="1">IF(ROWS(A$18:A47)&gt;C$8-C$7+1,
   NA(),
   IF(OR(C$7="",C$8="",C$7=C$8),
      NA(),
      (INDIRECT(ADDRESS(C$7+ROWS(A$18:$B47)-1,COLUMN(INDIRECT(C$9&amp;1)),,,C$6))-C$10)/(C$11-C$10)*(C$13-C$12))*IF(C$14&lt;&gt;"",C$14,1))</f>
        <v>46295.944282407407</v>
      </c>
      <c r="D47" s="4" cm="1">
        <f t="array" aca="1" ref="D47" ca="1">IF(ROWS(B$18:B47)&gt;D$8-D$7+1,
   NA(),
   IF(OR(D$7="",D$8="",D$7=D$8),
      NA(),
      (INDIRECT(ADDRESS(D$7+ROWS($B$18:B47)-1,COLUMN(INDIRECT(D$9&amp;1)),,,D$6))-D$10)/(D$11-D$10)*(D$13-D$12))*IF(D$14&lt;&gt;"",D$14,1))</f>
        <v>2.8</v>
      </c>
      <c r="E47" s="4" t="e" cm="1">
        <f t="array" aca="1" ref="E47" ca="1">IF(ROWS(C$18:C47)&gt;E$8-E$7+1,
   NA(),
   IF(OR(E$7="",E$8="",E$7=E$8),
      NA(),
      (INDIRECT(ADDRESS(E$7+ROWS($B$18:C47)-1,COLUMN(INDIRECT(E$9&amp;1)),,,E$6))-E$10)/(E$11-E$10)*(E$13-E$12))*IF(E$14&lt;&gt;"",E$14,1))</f>
        <v>#VALUE!</v>
      </c>
      <c r="F47" s="4" cm="1">
        <f t="array" aca="1" ref="F47" ca="1">IF(ROWS(D$18:D47)&gt;F$8-F$7+1,
   NA(),
   IF(OR(F$7="",F$8="",F$7=F$8),
      NA(),
      (INDIRECT(ADDRESS(F$7+ROWS($B$18:D47)-1,COLUMN(INDIRECT(F$9&amp;1)),,,F$6))-F$10)/(F$11-F$10)*(F$13-F$12))*IF(F$14&lt;&gt;"",F$14,1))</f>
        <v>145.10040283203</v>
      </c>
      <c r="I47" s="3" cm="1">
        <f t="array" aca="1" ref="I47" ca="1">IF(ROWS(G$18:G47)&gt;I$8-I$7+1,
   NA(),
   IF(OR(I$7="",I$8="",I$7=I$8),
      NA(),
      (INDIRECT(ADDRESS(I$7+ROWS($B$18:G47)-1,COLUMN(INDIRECT(I$9&amp;1)),,,I$6))-I$10)/(I$11-I$10)*(I$13-I$12))*IF(I$14&lt;&gt;"",I$14,1))</f>
        <v>46295.969375000001</v>
      </c>
      <c r="J47" s="4" cm="1">
        <f t="array" aca="1" ref="J47" ca="1">IF(ROWS(H$18:H47)&gt;J$8-J$7+1,
   NA(),
   IF(OR(J$7="",J$8="",J$7=J$8),
      NA(),
      (INDIRECT(ADDRESS(J$7+ROWS($B$18:H47)-1,COLUMN(INDIRECT(J$9&amp;1)),,,J$6))-J$10)/(J$11-J$10)*(J$13-J$12))*IF(J$14&lt;&gt;"",J$14,1))</f>
        <v>0.45</v>
      </c>
      <c r="K47" s="4" cm="1">
        <f t="array" aca="1" ref="K47" ca="1">IF(ROWS(I$18:I47)&gt;K$8-K$7+1,
   NA(),
   IF(OR(K$7="",K$8="",K$7=K$8),
      NA(),
      (INDIRECT(ADDRESS(K$7+ROWS($B$18:I47)-1,COLUMN(INDIRECT(K$9&amp;1)),,,K$6))-K$10)/(K$11-K$10)*(K$13-K$12))*IF(K$14&lt;&gt;"",K$14,1))</f>
        <v>145.61416625976599</v>
      </c>
      <c r="L47" s="4" cm="1">
        <f t="array" aca="1" ref="L47" ca="1">IF(ROWS(J$18:J47)&gt;L$8-L$7+1,
   NA(),
   IF(OR(L$7="",L$8="",L$7=L$8),
      NA(),
      (INDIRECT(ADDRESS(L$7+ROWS($B$18:J47)-1,COLUMN(INDIRECT(L$9&amp;1)),,,L$6))-L$10)/(L$11-L$10)*(L$13-L$12))*IF(L$14&lt;&gt;"",L$14,1))</f>
        <v>-436.29245605468799</v>
      </c>
    </row>
    <row r="48" spans="3:12" x14ac:dyDescent="0.2">
      <c r="C48" s="3" cm="1">
        <f t="array" aca="1" ref="C48" ca="1">IF(ROWS(A$18:A48)&gt;C$8-C$7+1,
   NA(),
   IF(OR(C$7="",C$8="",C$7=C$8),
      NA(),
      (INDIRECT(ADDRESS(C$7+ROWS(A$18:$B48)-1,COLUMN(INDIRECT(C$9&amp;1)),,,C$6))-C$10)/(C$11-C$10)*(C$13-C$12))*IF(C$14&lt;&gt;"",C$14,1))</f>
        <v>46295.94431712963</v>
      </c>
      <c r="D48" s="4" cm="1">
        <f t="array" aca="1" ref="D48" ca="1">IF(ROWS(B$18:B48)&gt;D$8-D$7+1,
   NA(),
   IF(OR(D$7="",D$8="",D$7=D$8),
      NA(),
      (INDIRECT(ADDRESS(D$7+ROWS($B$18:B48)-1,COLUMN(INDIRECT(D$9&amp;1)),,,D$6))-D$10)/(D$11-D$10)*(D$13-D$12))*IF(D$14&lt;&gt;"",D$14,1))</f>
        <v>2.7</v>
      </c>
      <c r="E48" s="4" t="e" cm="1">
        <f t="array" aca="1" ref="E48" ca="1">IF(ROWS(C$18:C48)&gt;E$8-E$7+1,
   NA(),
   IF(OR(E$7="",E$8="",E$7=E$8),
      NA(),
      (INDIRECT(ADDRESS(E$7+ROWS($B$18:C48)-1,COLUMN(INDIRECT(E$9&amp;1)),,,E$6))-E$10)/(E$11-E$10)*(E$13-E$12))*IF(E$14&lt;&gt;"",E$14,1))</f>
        <v>#VALUE!</v>
      </c>
      <c r="F48" s="4" cm="1">
        <f t="array" aca="1" ref="F48" ca="1">IF(ROWS(D$18:D48)&gt;F$8-F$7+1,
   NA(),
   IF(OR(F$7="",F$8="",F$7=F$8),
      NA(),
      (INDIRECT(ADDRESS(F$7+ROWS($B$18:D48)-1,COLUMN(INDIRECT(F$9&amp;1)),,,F$6))-F$10)/(F$11-F$10)*(F$13-F$12))*IF(F$14&lt;&gt;"",F$14,1))</f>
        <v>148.82354736328</v>
      </c>
      <c r="I48" s="3" cm="1">
        <f t="array" aca="1" ref="I48" ca="1">IF(ROWS(G$18:G48)&gt;I$8-I$7+1,
   NA(),
   IF(OR(I$7="",I$8="",I$7=I$8),
      NA(),
      (INDIRECT(ADDRESS(I$7+ROWS($B$18:G48)-1,COLUMN(INDIRECT(I$9&amp;1)),,,I$6))-I$10)/(I$11-I$10)*(I$13-I$12))*IF(I$14&lt;&gt;"",I$14,1))</f>
        <v>46295.969409722224</v>
      </c>
      <c r="J48" s="4" cm="1">
        <f t="array" aca="1" ref="J48" ca="1">IF(ROWS(H$18:H48)&gt;J$8-J$7+1,
   NA(),
   IF(OR(J$7="",J$8="",J$7=J$8),
      NA(),
      (INDIRECT(ADDRESS(J$7+ROWS($B$18:H48)-1,COLUMN(INDIRECT(J$9&amp;1)),,,J$6))-J$10)/(J$11-J$10)*(J$13-J$12))*IF(J$14&lt;&gt;"",J$14,1))</f>
        <v>0.5</v>
      </c>
      <c r="K48" s="4" cm="1">
        <f t="array" aca="1" ref="K48" ca="1">IF(ROWS(I$18:I48)&gt;K$8-K$7+1,
   NA(),
   IF(OR(K$7="",K$8="",K$7=K$8),
      NA(),
      (INDIRECT(ADDRESS(K$7+ROWS($B$18:I48)-1,COLUMN(INDIRECT(K$9&amp;1)),,,K$6))-K$10)/(K$11-K$10)*(K$13-K$12))*IF(K$14&lt;&gt;"",K$14,1))</f>
        <v>142.02787780761699</v>
      </c>
      <c r="L48" s="4" cm="1">
        <f t="array" aca="1" ref="L48" ca="1">IF(ROWS(J$18:J48)&gt;L$8-L$7+1,
   NA(),
   IF(OR(L$7="",L$8="",L$7=L$8),
      NA(),
      (INDIRECT(ADDRESS(L$7+ROWS($B$18:J48)-1,COLUMN(INDIRECT(L$9&amp;1)),,,L$6))-L$10)/(L$11-L$10)*(L$13-L$12))*IF(L$14&lt;&gt;"",L$14,1))</f>
        <v>-436.51523437499998</v>
      </c>
    </row>
    <row r="49" spans="3:12" x14ac:dyDescent="0.2">
      <c r="C49" s="3" cm="1">
        <f t="array" aca="1" ref="C49" ca="1">IF(ROWS(A$18:A49)&gt;C$8-C$7+1,
   NA(),
   IF(OR(C$7="",C$8="",C$7=C$8),
      NA(),
      (INDIRECT(ADDRESS(C$7+ROWS(A$18:$B49)-1,COLUMN(INDIRECT(C$9&amp;1)),,,C$6))-C$10)/(C$11-C$10)*(C$13-C$12))*IF(C$14&lt;&gt;"",C$14,1))</f>
        <v>46295.944351851853</v>
      </c>
      <c r="D49" s="4" cm="1">
        <f t="array" aca="1" ref="D49" ca="1">IF(ROWS(B$18:B49)&gt;D$8-D$7+1,
   NA(),
   IF(OR(D$7="",D$8="",D$7=D$8),
      NA(),
      (INDIRECT(ADDRESS(D$7+ROWS($B$18:B49)-1,COLUMN(INDIRECT(D$9&amp;1)),,,D$6))-D$10)/(D$11-D$10)*(D$13-D$12))*IF(D$14&lt;&gt;"",D$14,1))</f>
        <v>2.6</v>
      </c>
      <c r="E49" s="4" t="e" cm="1">
        <f t="array" aca="1" ref="E49" ca="1">IF(ROWS(C$18:C49)&gt;E$8-E$7+1,
   NA(),
   IF(OR(E$7="",E$8="",E$7=E$8),
      NA(),
      (INDIRECT(ADDRESS(E$7+ROWS($B$18:C49)-1,COLUMN(INDIRECT(E$9&amp;1)),,,E$6))-E$10)/(E$11-E$10)*(E$13-E$12))*IF(E$14&lt;&gt;"",E$14,1))</f>
        <v>#VALUE!</v>
      </c>
      <c r="F49" s="4" cm="1">
        <f t="array" aca="1" ref="F49" ca="1">IF(ROWS(D$18:D49)&gt;F$8-F$7+1,
   NA(),
   IF(OR(F$7="",F$8="",F$7=F$8),
      NA(),
      (INDIRECT(ADDRESS(F$7+ROWS($B$18:D49)-1,COLUMN(INDIRECT(F$9&amp;1)),,,F$6))-F$10)/(F$11-F$10)*(F$13-F$12))*IF(F$14&lt;&gt;"",F$14,1))</f>
        <v>239.25476074219</v>
      </c>
      <c r="I49" s="3" cm="1">
        <f t="array" aca="1" ref="I49" ca="1">IF(ROWS(G$18:G49)&gt;I$8-I$7+1,
   NA(),
   IF(OR(I$7="",I$8="",I$7=I$8),
      NA(),
      (INDIRECT(ADDRESS(I$7+ROWS($B$18:G49)-1,COLUMN(INDIRECT(I$9&amp;1)),,,I$6))-I$10)/(I$11-I$10)*(I$13-I$12))*IF(I$14&lt;&gt;"",I$14,1))</f>
        <v>46295.969444444447</v>
      </c>
      <c r="J49" s="4" cm="1">
        <f t="array" aca="1" ref="J49" ca="1">IF(ROWS(H$18:H49)&gt;J$8-J$7+1,
   NA(),
   IF(OR(J$7="",J$8="",J$7=J$8),
      NA(),
      (INDIRECT(ADDRESS(J$7+ROWS($B$18:H49)-1,COLUMN(INDIRECT(J$9&amp;1)),,,J$6))-J$10)/(J$11-J$10)*(J$13-J$12))*IF(J$14&lt;&gt;"",J$14,1))</f>
        <v>0.55000000000000004</v>
      </c>
      <c r="K49" s="4" cm="1">
        <f t="array" aca="1" ref="K49" ca="1">IF(ROWS(I$18:I49)&gt;K$8-K$7+1,
   NA(),
   IF(OR(K$7="",K$8="",K$7=K$8),
      NA(),
      (INDIRECT(ADDRESS(K$7+ROWS($B$18:I49)-1,COLUMN(INDIRECT(K$9&amp;1)),,,K$6))-K$10)/(K$11-K$10)*(K$13-K$12))*IF(K$14&lt;&gt;"",K$14,1))</f>
        <v>139.45889282226599</v>
      </c>
      <c r="L49" s="4" cm="1">
        <f t="array" aca="1" ref="L49" ca="1">IF(ROWS(J$18:J49)&gt;L$8-L$7+1,
   NA(),
   IF(OR(L$7="",L$8="",L$7=L$8),
      NA(),
      (INDIRECT(ADDRESS(L$7+ROWS($B$18:J49)-1,COLUMN(INDIRECT(L$9&amp;1)),,,L$6))-L$10)/(L$11-L$10)*(L$13-L$12))*IF(L$14&lt;&gt;"",L$14,1))</f>
        <v>-436.73068847656299</v>
      </c>
    </row>
    <row r="50" spans="3:12" x14ac:dyDescent="0.2">
      <c r="C50" s="3" cm="1">
        <f t="array" aca="1" ref="C50" ca="1">IF(ROWS(A$18:A50)&gt;C$8-C$7+1,
   NA(),
   IF(OR(C$7="",C$8="",C$7=C$8),
      NA(),
      (INDIRECT(ADDRESS(C$7+ROWS(A$18:$B50)-1,COLUMN(INDIRECT(C$9&amp;1)),,,C$6))-C$10)/(C$11-C$10)*(C$13-C$12))*IF(C$14&lt;&gt;"",C$14,1))</f>
        <v>46295.944386574076</v>
      </c>
      <c r="D50" s="4" cm="1">
        <f t="array" aca="1" ref="D50" ca="1">IF(ROWS(B$18:B50)&gt;D$8-D$7+1,
   NA(),
   IF(OR(D$7="",D$8="",D$7=D$8),
      NA(),
      (INDIRECT(ADDRESS(D$7+ROWS($B$18:B50)-1,COLUMN(INDIRECT(D$9&amp;1)),,,D$6))-D$10)/(D$11-D$10)*(D$13-D$12))*IF(D$14&lt;&gt;"",D$14,1))</f>
        <v>2.5</v>
      </c>
      <c r="E50" s="4" t="e" cm="1">
        <f t="array" aca="1" ref="E50" ca="1">IF(ROWS(C$18:C50)&gt;E$8-E$7+1,
   NA(),
   IF(OR(E$7="",E$8="",E$7=E$8),
      NA(),
      (INDIRECT(ADDRESS(E$7+ROWS($B$18:C50)-1,COLUMN(INDIRECT(E$9&amp;1)),,,E$6))-E$10)/(E$11-E$10)*(E$13-E$12))*IF(E$14&lt;&gt;"",E$14,1))</f>
        <v>#VALUE!</v>
      </c>
      <c r="F50" s="4" cm="1">
        <f t="array" aca="1" ref="F50" ca="1">IF(ROWS(D$18:D50)&gt;F$8-F$7+1,
   NA(),
   IF(OR(F$7="",F$8="",F$7=F$8),
      NA(),
      (INDIRECT(ADDRESS(F$7+ROWS($B$18:D50)-1,COLUMN(INDIRECT(F$9&amp;1)),,,F$6))-F$10)/(F$11-F$10)*(F$13-F$12))*IF(F$14&lt;&gt;"",F$14,1))</f>
        <v>139.324951171875</v>
      </c>
      <c r="I50" s="3" cm="1">
        <f t="array" aca="1" ref="I50" ca="1">IF(ROWS(G$18:G50)&gt;I$8-I$7+1,
   NA(),
   IF(OR(I$7="",I$8="",I$7=I$8),
      NA(),
      (INDIRECT(ADDRESS(I$7+ROWS($B$18:G50)-1,COLUMN(INDIRECT(I$9&amp;1)),,,I$6))-I$10)/(I$11-I$10)*(I$13-I$12))*IF(I$14&lt;&gt;"",I$14,1))</f>
        <v>46295.96947916667</v>
      </c>
      <c r="J50" s="4" cm="1">
        <f t="array" aca="1" ref="J50" ca="1">IF(ROWS(H$18:H50)&gt;J$8-J$7+1,
   NA(),
   IF(OR(J$7="",J$8="",J$7=J$8),
      NA(),
      (INDIRECT(ADDRESS(J$7+ROWS($B$18:H50)-1,COLUMN(INDIRECT(J$9&amp;1)),,,J$6))-J$10)/(J$11-J$10)*(J$13-J$12))*IF(J$14&lt;&gt;"",J$14,1))</f>
        <v>0.6</v>
      </c>
      <c r="K50" s="4" cm="1">
        <f t="array" aca="1" ref="K50" ca="1">IF(ROWS(I$18:I50)&gt;K$8-K$7+1,
   NA(),
   IF(OR(K$7="",K$8="",K$7=K$8),
      NA(),
      (INDIRECT(ADDRESS(K$7+ROWS($B$18:I50)-1,COLUMN(INDIRECT(K$9&amp;1)),,,K$6))-K$10)/(K$11-K$10)*(K$13-K$12))*IF(K$14&lt;&gt;"",K$14,1))</f>
        <v>135.07460021972699</v>
      </c>
      <c r="L50" s="4" cm="1">
        <f t="array" aca="1" ref="L50" ca="1">IF(ROWS(J$18:J50)&gt;L$8-L$7+1,
   NA(),
   IF(OR(L$7="",L$8="",L$7=L$8),
      NA(),
      (INDIRECT(ADDRESS(L$7+ROWS($B$18:J50)-1,COLUMN(INDIRECT(L$9&amp;1)),,,L$6))-L$10)/(L$11-L$10)*(L$13-L$12))*IF(L$14&lt;&gt;"",L$14,1))</f>
        <v>-437.29129638671895</v>
      </c>
    </row>
    <row r="51" spans="3:12" x14ac:dyDescent="0.2">
      <c r="C51" s="3" cm="1">
        <f t="array" aca="1" ref="C51" ca="1">IF(ROWS(A$18:A51)&gt;C$8-C$7+1,
   NA(),
   IF(OR(C$7="",C$8="",C$7=C$8),
      NA(),
      (INDIRECT(ADDRESS(C$7+ROWS(A$18:$B51)-1,COLUMN(INDIRECT(C$9&amp;1)),,,C$6))-C$10)/(C$11-C$10)*(C$13-C$12))*IF(C$14&lt;&gt;"",C$14,1))</f>
        <v>46295.944421296299</v>
      </c>
      <c r="D51" s="4" cm="1">
        <f t="array" aca="1" ref="D51" ca="1">IF(ROWS(B$18:B51)&gt;D$8-D$7+1,
   NA(),
   IF(OR(D$7="",D$8="",D$7=D$8),
      NA(),
      (INDIRECT(ADDRESS(D$7+ROWS($B$18:B51)-1,COLUMN(INDIRECT(D$9&amp;1)),,,D$6))-D$10)/(D$11-D$10)*(D$13-D$12))*IF(D$14&lt;&gt;"",D$14,1))</f>
        <v>2.4</v>
      </c>
      <c r="E51" s="4" t="e" cm="1">
        <f t="array" aca="1" ref="E51" ca="1">IF(ROWS(C$18:C51)&gt;E$8-E$7+1,
   NA(),
   IF(OR(E$7="",E$8="",E$7=E$8),
      NA(),
      (INDIRECT(ADDRESS(E$7+ROWS($B$18:C51)-1,COLUMN(INDIRECT(E$9&amp;1)),,,E$6))-E$10)/(E$11-E$10)*(E$13-E$12))*IF(E$14&lt;&gt;"",E$14,1))</f>
        <v>#VALUE!</v>
      </c>
      <c r="F51" s="4" cm="1">
        <f t="array" aca="1" ref="F51" ca="1">IF(ROWS(D$18:D51)&gt;F$8-F$7+1,
   NA(),
   IF(OR(F$7="",F$8="",F$7=F$8),
      NA(),
      (INDIRECT(ADDRESS(F$7+ROWS($B$18:D51)-1,COLUMN(INDIRECT(F$9&amp;1)),,,F$6))-F$10)/(F$11-F$10)*(F$13-F$12))*IF(F$14&lt;&gt;"",F$14,1))</f>
        <v>123.53210449218999</v>
      </c>
      <c r="I51" s="3" cm="1">
        <f t="array" aca="1" ref="I51" ca="1">IF(ROWS(G$18:G51)&gt;I$8-I$7+1,
   NA(),
   IF(OR(I$7="",I$8="",I$7=I$8),
      NA(),
      (INDIRECT(ADDRESS(I$7+ROWS($B$18:G51)-1,COLUMN(INDIRECT(I$9&amp;1)),,,I$6))-I$10)/(I$11-I$10)*(I$13-I$12))*IF(I$14&lt;&gt;"",I$14,1))</f>
        <v>46295.969513888886</v>
      </c>
      <c r="J51" s="4" cm="1">
        <f t="array" aca="1" ref="J51" ca="1">IF(ROWS(H$18:H51)&gt;J$8-J$7+1,
   NA(),
   IF(OR(J$7="",J$8="",J$7=J$8),
      NA(),
      (INDIRECT(ADDRESS(J$7+ROWS($B$18:H51)-1,COLUMN(INDIRECT(J$9&amp;1)),,,J$6))-J$10)/(J$11-J$10)*(J$13-J$12))*IF(J$14&lt;&gt;"",J$14,1))</f>
        <v>0.65</v>
      </c>
      <c r="K51" s="4" cm="1">
        <f t="array" aca="1" ref="K51" ca="1">IF(ROWS(I$18:I51)&gt;K$8-K$7+1,
   NA(),
   IF(OR(K$7="",K$8="",K$7=K$8),
      NA(),
      (INDIRECT(ADDRESS(K$7+ROWS($B$18:I51)-1,COLUMN(INDIRECT(K$9&amp;1)),,,K$6))-K$10)/(K$11-K$10)*(K$13-K$12))*IF(K$14&lt;&gt;"",K$14,1))</f>
        <v>128.18159484863301</v>
      </c>
      <c r="L51" s="4" cm="1">
        <f t="array" aca="1" ref="L51" ca="1">IF(ROWS(J$18:J51)&gt;L$8-L$7+1,
   NA(),
   IF(OR(L$7="",L$8="",L$7=L$8),
      NA(),
      (INDIRECT(ADDRESS(L$7+ROWS($B$18:J51)-1,COLUMN(INDIRECT(L$9&amp;1)),,,L$6))-L$10)/(L$11-L$10)*(L$13-L$12))*IF(L$14&lt;&gt;"",L$14,1))</f>
        <v>-436.74808349609395</v>
      </c>
    </row>
    <row r="52" spans="3:12" x14ac:dyDescent="0.2">
      <c r="C52" s="3" cm="1">
        <f t="array" aca="1" ref="C52" ca="1">IF(ROWS(A$18:A52)&gt;C$8-C$7+1,
   NA(),
   IF(OR(C$7="",C$8="",C$7=C$8),
      NA(),
      (INDIRECT(ADDRESS(C$7+ROWS(A$18:$B52)-1,COLUMN(INDIRECT(C$9&amp;1)),,,C$6))-C$10)/(C$11-C$10)*(C$13-C$12))*IF(C$14&lt;&gt;"",C$14,1))</f>
        <v>46295.944456018522</v>
      </c>
      <c r="D52" s="4" cm="1">
        <f t="array" aca="1" ref="D52" ca="1">IF(ROWS(B$18:B52)&gt;D$8-D$7+1,
   NA(),
   IF(OR(D$7="",D$8="",D$7=D$8),
      NA(),
      (INDIRECT(ADDRESS(D$7+ROWS($B$18:B52)-1,COLUMN(INDIRECT(D$9&amp;1)),,,D$6))-D$10)/(D$11-D$10)*(D$13-D$12))*IF(D$14&lt;&gt;"",D$14,1))</f>
        <v>2.2999999999999998</v>
      </c>
      <c r="E52" s="4" t="e" cm="1">
        <f t="array" aca="1" ref="E52" ca="1">IF(ROWS(C$18:C52)&gt;E$8-E$7+1,
   NA(),
   IF(OR(E$7="",E$8="",E$7=E$8),
      NA(),
      (INDIRECT(ADDRESS(E$7+ROWS($B$18:C52)-1,COLUMN(INDIRECT(E$9&amp;1)),,,E$6))-E$10)/(E$11-E$10)*(E$13-E$12))*IF(E$14&lt;&gt;"",E$14,1))</f>
        <v>#VALUE!</v>
      </c>
      <c r="F52" s="4" cm="1">
        <f t="array" aca="1" ref="F52" ca="1">IF(ROWS(D$18:D52)&gt;F$8-F$7+1,
   NA(),
   IF(OR(F$7="",F$8="",F$7=F$8),
      NA(),
      (INDIRECT(ADDRESS(F$7+ROWS($B$18:D52)-1,COLUMN(INDIRECT(F$9&amp;1)),,,F$6))-F$10)/(F$11-F$10)*(F$13-F$12))*IF(F$14&lt;&gt;"",F$14,1))</f>
        <v>99.995422363279999</v>
      </c>
      <c r="I52" s="3" cm="1">
        <f t="array" aca="1" ref="I52" ca="1">IF(ROWS(G$18:G52)&gt;I$8-I$7+1,
   NA(),
   IF(OR(I$7="",I$8="",I$7=I$8),
      NA(),
      (INDIRECT(ADDRESS(I$7+ROWS($B$18:G52)-1,COLUMN(INDIRECT(I$9&amp;1)),,,I$6))-I$10)/(I$11-I$10)*(I$13-I$12))*IF(I$14&lt;&gt;"",I$14,1))</f>
        <v>46295.969548611109</v>
      </c>
      <c r="J52" s="4" cm="1">
        <f t="array" aca="1" ref="J52" ca="1">IF(ROWS(H$18:H52)&gt;J$8-J$7+1,
   NA(),
   IF(OR(J$7="",J$8="",J$7=J$8),
      NA(),
      (INDIRECT(ADDRESS(J$7+ROWS($B$18:H52)-1,COLUMN(INDIRECT(J$9&amp;1)),,,J$6))-J$10)/(J$11-J$10)*(J$13-J$12))*IF(J$14&lt;&gt;"",J$14,1))</f>
        <v>0.7</v>
      </c>
      <c r="K52" s="4" cm="1">
        <f t="array" aca="1" ref="K52" ca="1">IF(ROWS(I$18:I52)&gt;K$8-K$7+1,
   NA(),
   IF(OR(K$7="",K$8="",K$7=K$8),
      NA(),
      (INDIRECT(ADDRESS(K$7+ROWS($B$18:I52)-1,COLUMN(INDIRECT(K$9&amp;1)),,,K$6))-K$10)/(K$11-K$10)*(K$13-K$12))*IF(K$14&lt;&gt;"",K$14,1))</f>
        <v>122.951385498047</v>
      </c>
      <c r="L52" s="4" cm="1">
        <f t="array" aca="1" ref="L52" ca="1">IF(ROWS(J$18:J52)&gt;L$8-L$7+1,
   NA(),
   IF(OR(L$7="",L$8="",L$7=L$8),
      NA(),
      (INDIRECT(ADDRESS(L$7+ROWS($B$18:J52)-1,COLUMN(INDIRECT(L$9&amp;1)),,,L$6))-L$10)/(L$11-L$10)*(L$13-L$12))*IF(L$14&lt;&gt;"",L$14,1))</f>
        <v>-436.94949951171895</v>
      </c>
    </row>
    <row r="53" spans="3:12" x14ac:dyDescent="0.2">
      <c r="C53" s="3" cm="1">
        <f t="array" aca="1" ref="C53" ca="1">IF(ROWS(A$18:A53)&gt;C$8-C$7+1,
   NA(),
   IF(OR(C$7="",C$8="",C$7=C$8),
      NA(),
      (INDIRECT(ADDRESS(C$7+ROWS(A$18:$B53)-1,COLUMN(INDIRECT(C$9&amp;1)),,,C$6))-C$10)/(C$11-C$10)*(C$13-C$12))*IF(C$14&lt;&gt;"",C$14,1))</f>
        <v>46295.944490740738</v>
      </c>
      <c r="D53" s="4" cm="1">
        <f t="array" aca="1" ref="D53" ca="1">IF(ROWS(B$18:B53)&gt;D$8-D$7+1,
   NA(),
   IF(OR(D$7="",D$8="",D$7=D$8),
      NA(),
      (INDIRECT(ADDRESS(D$7+ROWS($B$18:B53)-1,COLUMN(INDIRECT(D$9&amp;1)),,,D$6))-D$10)/(D$11-D$10)*(D$13-D$12))*IF(D$14&lt;&gt;"",D$14,1))</f>
        <v>2.2000000000000002</v>
      </c>
      <c r="E53" s="4" t="e" cm="1">
        <f t="array" aca="1" ref="E53" ca="1">IF(ROWS(C$18:C53)&gt;E$8-E$7+1,
   NA(),
   IF(OR(E$7="",E$8="",E$7=E$8),
      NA(),
      (INDIRECT(ADDRESS(E$7+ROWS($B$18:C53)-1,COLUMN(INDIRECT(E$9&amp;1)),,,E$6))-E$10)/(E$11-E$10)*(E$13-E$12))*IF(E$14&lt;&gt;"",E$14,1))</f>
        <v>#VALUE!</v>
      </c>
      <c r="F53" s="4" cm="1">
        <f t="array" aca="1" ref="F53" ca="1">IF(ROWS(D$18:D53)&gt;F$8-F$7+1,
   NA(),
   IF(OR(F$7="",F$8="",F$7=F$8),
      NA(),
      (INDIRECT(ADDRESS(F$7+ROWS($B$18:D53)-1,COLUMN(INDIRECT(F$9&amp;1)),,,F$6))-F$10)/(F$11-F$10)*(F$13-F$12))*IF(F$14&lt;&gt;"",F$14,1))</f>
        <v>104.94689941406499</v>
      </c>
      <c r="I53" s="3" cm="1">
        <f t="array" aca="1" ref="I53" ca="1">IF(ROWS(G$18:G53)&gt;I$8-I$7+1,
   NA(),
   IF(OR(I$7="",I$8="",I$7=I$8),
      NA(),
      (INDIRECT(ADDRESS(I$7+ROWS($B$18:G53)-1,COLUMN(INDIRECT(I$9&amp;1)),,,I$6))-I$10)/(I$11-I$10)*(I$13-I$12))*IF(I$14&lt;&gt;"",I$14,1))</f>
        <v>46295.969583333332</v>
      </c>
      <c r="J53" s="4" cm="1">
        <f t="array" aca="1" ref="J53" ca="1">IF(ROWS(H$18:H53)&gt;J$8-J$7+1,
   NA(),
   IF(OR(J$7="",J$8="",J$7=J$8),
      NA(),
      (INDIRECT(ADDRESS(J$7+ROWS($B$18:H53)-1,COLUMN(INDIRECT(J$9&amp;1)),,,J$6))-J$10)/(J$11-J$10)*(J$13-J$12))*IF(J$14&lt;&gt;"",J$14,1))</f>
        <v>0.75</v>
      </c>
      <c r="K53" s="4" cm="1">
        <f t="array" aca="1" ref="K53" ca="1">IF(ROWS(I$18:I53)&gt;K$8-K$7+1,
   NA(),
   IF(OR(K$7="",K$8="",K$7=K$8),
      NA(),
      (INDIRECT(ADDRESS(K$7+ROWS($B$18:I53)-1,COLUMN(INDIRECT(K$9&amp;1)),,,K$6))-K$10)/(K$11-K$10)*(K$13-K$12))*IF(K$14&lt;&gt;"",K$14,1))</f>
        <v>115.961074829102</v>
      </c>
      <c r="L53" s="4" cm="1">
        <f t="array" aca="1" ref="L53" ca="1">IF(ROWS(J$18:J53)&gt;L$8-L$7+1,
   NA(),
   IF(OR(L$7="",L$8="",L$7=L$8),
      NA(),
      (INDIRECT(ADDRESS(L$7+ROWS($B$18:J53)-1,COLUMN(INDIRECT(L$9&amp;1)),,,L$6))-L$10)/(L$11-L$10)*(L$13-L$12))*IF(L$14&lt;&gt;"",L$14,1))</f>
        <v>-436.78928222656299</v>
      </c>
    </row>
    <row r="54" spans="3:12" x14ac:dyDescent="0.2">
      <c r="C54" s="3" cm="1">
        <f t="array" aca="1" ref="C54" ca="1">IF(ROWS(A$18:A54)&gt;C$8-C$7+1,
   NA(),
   IF(OR(C$7="",C$8="",C$7=C$8),
      NA(),
      (INDIRECT(ADDRESS(C$7+ROWS(A$18:$B54)-1,COLUMN(INDIRECT(C$9&amp;1)),,,C$6))-C$10)/(C$11-C$10)*(C$13-C$12))*IF(C$14&lt;&gt;"",C$14,1))</f>
        <v>46295.944525462961</v>
      </c>
      <c r="D54" s="4" cm="1">
        <f t="array" aca="1" ref="D54" ca="1">IF(ROWS(B$18:B54)&gt;D$8-D$7+1,
   NA(),
   IF(OR(D$7="",D$8="",D$7=D$8),
      NA(),
      (INDIRECT(ADDRESS(D$7+ROWS($B$18:B54)-1,COLUMN(INDIRECT(D$9&amp;1)),,,D$6))-D$10)/(D$11-D$10)*(D$13-D$12))*IF(D$14&lt;&gt;"",D$14,1))</f>
        <v>2.1</v>
      </c>
      <c r="E54" s="4" t="e" cm="1">
        <f t="array" aca="1" ref="E54" ca="1">IF(ROWS(C$18:C54)&gt;E$8-E$7+1,
   NA(),
   IF(OR(E$7="",E$8="",E$7=E$8),
      NA(),
      (INDIRECT(ADDRESS(E$7+ROWS($B$18:C54)-1,COLUMN(INDIRECT(E$9&amp;1)),,,E$6))-E$10)/(E$11-E$10)*(E$13-E$12))*IF(E$14&lt;&gt;"",E$14,1))</f>
        <v>#VALUE!</v>
      </c>
      <c r="F54" s="4" cm="1">
        <f t="array" aca="1" ref="F54" ca="1">IF(ROWS(D$18:D54)&gt;F$8-F$7+1,
   NA(),
   IF(OR(F$7="",F$8="",F$7=F$8),
      NA(),
      (INDIRECT(ADDRESS(F$7+ROWS($B$18:D54)-1,COLUMN(INDIRECT(F$9&amp;1)),,,F$6))-F$10)/(F$11-F$10)*(F$13-F$12))*IF(F$14&lt;&gt;"",F$14,1))</f>
        <v>126.751708984375</v>
      </c>
      <c r="I54" s="3" cm="1">
        <f t="array" aca="1" ref="I54" ca="1">IF(ROWS(G$18:G54)&gt;I$8-I$7+1,
   NA(),
   IF(OR(I$7="",I$8="",I$7=I$8),
      NA(),
      (INDIRECT(ADDRESS(I$7+ROWS($B$18:G54)-1,COLUMN(INDIRECT(I$9&amp;1)),,,I$6))-I$10)/(I$11-I$10)*(I$13-I$12))*IF(I$14&lt;&gt;"",I$14,1))</f>
        <v>46295.969618055555</v>
      </c>
      <c r="J54" s="4" cm="1">
        <f t="array" aca="1" ref="J54" ca="1">IF(ROWS(H$18:H54)&gt;J$8-J$7+1,
   NA(),
   IF(OR(J$7="",J$8="",J$7=J$8),
      NA(),
      (INDIRECT(ADDRESS(J$7+ROWS($B$18:H54)-1,COLUMN(INDIRECT(J$9&amp;1)),,,J$6))-J$10)/(J$11-J$10)*(J$13-J$12))*IF(J$14&lt;&gt;"",J$14,1))</f>
        <v>0.8</v>
      </c>
      <c r="K54" s="4" cm="1">
        <f t="array" aca="1" ref="K54" ca="1">IF(ROWS(I$18:I54)&gt;K$8-K$7+1,
   NA(),
   IF(OR(K$7="",K$8="",K$7=K$8),
      NA(),
      (INDIRECT(ADDRESS(K$7+ROWS($B$18:I54)-1,COLUMN(INDIRECT(K$9&amp;1)),,,K$6))-K$10)/(K$11-K$10)*(K$13-K$12))*IF(K$14&lt;&gt;"",K$14,1))</f>
        <v>105.89276123046901</v>
      </c>
      <c r="L54" s="4" cm="1">
        <f t="array" aca="1" ref="L54" ca="1">IF(ROWS(J$18:J54)&gt;L$8-L$7+1,
   NA(),
   IF(OR(L$7="",L$8="",L$7=L$8),
      NA(),
      (INDIRECT(ADDRESS(L$7+ROWS($B$18:J54)-1,COLUMN(INDIRECT(L$9&amp;1)),,,L$6))-L$10)/(L$11-L$10)*(L$13-L$12))*IF(L$14&lt;&gt;"",L$14,1))</f>
        <v>-436.82895507812498</v>
      </c>
    </row>
    <row r="55" spans="3:12" x14ac:dyDescent="0.2">
      <c r="C55" s="3" cm="1">
        <f t="array" aca="1" ref="C55" ca="1">IF(ROWS(A$18:A55)&gt;C$8-C$7+1,
   NA(),
   IF(OR(C$7="",C$8="",C$7=C$8),
      NA(),
      (INDIRECT(ADDRESS(C$7+ROWS(A$18:$B55)-1,COLUMN(INDIRECT(C$9&amp;1)),,,C$6))-C$10)/(C$11-C$10)*(C$13-C$12))*IF(C$14&lt;&gt;"",C$14,1))</f>
        <v>46295.944560185184</v>
      </c>
      <c r="D55" s="4" cm="1">
        <f t="array" aca="1" ref="D55" ca="1">IF(ROWS(B$18:B55)&gt;D$8-D$7+1,
   NA(),
   IF(OR(D$7="",D$8="",D$7=D$8),
      NA(),
      (INDIRECT(ADDRESS(D$7+ROWS($B$18:B55)-1,COLUMN(INDIRECT(D$9&amp;1)),,,D$6))-D$10)/(D$11-D$10)*(D$13-D$12))*IF(D$14&lt;&gt;"",D$14,1))</f>
        <v>2</v>
      </c>
      <c r="E55" s="4" t="e" cm="1">
        <f t="array" aca="1" ref="E55" ca="1">IF(ROWS(C$18:C55)&gt;E$8-E$7+1,
   NA(),
   IF(OR(E$7="",E$8="",E$7=E$8),
      NA(),
      (INDIRECT(ADDRESS(E$7+ROWS($B$18:C55)-1,COLUMN(INDIRECT(E$9&amp;1)),,,E$6))-E$10)/(E$11-E$10)*(E$13-E$12))*IF(E$14&lt;&gt;"",E$14,1))</f>
        <v>#VALUE!</v>
      </c>
      <c r="F55" s="4" cm="1">
        <f t="array" aca="1" ref="F55" ca="1">IF(ROWS(D$18:D55)&gt;F$8-F$7+1,
   NA(),
   IF(OR(F$7="",F$8="",F$7=F$8),
      NA(),
      (INDIRECT(ADDRESS(F$7+ROWS($B$18:D55)-1,COLUMN(INDIRECT(F$9&amp;1)),,,F$6))-F$10)/(F$11-F$10)*(F$13-F$12))*IF(F$14&lt;&gt;"",F$14,1))</f>
        <v>84.339904785154999</v>
      </c>
      <c r="I55" s="3" cm="1">
        <f t="array" aca="1" ref="I55" ca="1">IF(ROWS(G$18:G55)&gt;I$8-I$7+1,
   NA(),
   IF(OR(I$7="",I$8="",I$7=I$8),
      NA(),
      (INDIRECT(ADDRESS(I$7+ROWS($B$18:G55)-1,COLUMN(INDIRECT(I$9&amp;1)),,,I$6))-I$10)/(I$11-I$10)*(I$13-I$12))*IF(I$14&lt;&gt;"",I$14,1))</f>
        <v>46295.969652777778</v>
      </c>
      <c r="J55" s="4" cm="1">
        <f t="array" aca="1" ref="J55" ca="1">IF(ROWS(H$18:H55)&gt;J$8-J$7+1,
   NA(),
   IF(OR(J$7="",J$8="",J$7=J$8),
      NA(),
      (INDIRECT(ADDRESS(J$7+ROWS($B$18:H55)-1,COLUMN(INDIRECT(J$9&amp;1)),,,J$6))-J$10)/(J$11-J$10)*(J$13-J$12))*IF(J$14&lt;&gt;"",J$14,1))</f>
        <v>0.85</v>
      </c>
      <c r="K55" s="4" cm="1">
        <f t="array" aca="1" ref="K55" ca="1">IF(ROWS(I$18:I55)&gt;K$8-K$7+1,
   NA(),
   IF(OR(K$7="",K$8="",K$7=K$8),
      NA(),
      (INDIRECT(ADDRESS(K$7+ROWS($B$18:I55)-1,COLUMN(INDIRECT(K$9&amp;1)),,,K$6))-K$10)/(K$11-K$10)*(K$13-K$12))*IF(K$14&lt;&gt;"",K$14,1))</f>
        <v>97.702186584472699</v>
      </c>
      <c r="L55" s="4" cm="1">
        <f t="array" aca="1" ref="L55" ca="1">IF(ROWS(J$18:J55)&gt;L$8-L$7+1,
   NA(),
   IF(OR(L$7="",L$8="",L$7=L$8),
      NA(),
      (INDIRECT(ADDRESS(L$7+ROWS($B$18:J55)-1,COLUMN(INDIRECT(L$9&amp;1)),,,L$6))-L$10)/(L$11-L$10)*(L$13-L$12))*IF(L$14&lt;&gt;"",L$14,1))</f>
        <v>-436.63059082031299</v>
      </c>
    </row>
    <row r="56" spans="3:12" x14ac:dyDescent="0.2">
      <c r="C56" s="3" cm="1">
        <f t="array" aca="1" ref="C56" ca="1">IF(ROWS(A$18:A56)&gt;C$8-C$7+1,
   NA(),
   IF(OR(C$7="",C$8="",C$7=C$8),
      NA(),
      (INDIRECT(ADDRESS(C$7+ROWS(A$18:$B56)-1,COLUMN(INDIRECT(C$9&amp;1)),,,C$6))-C$10)/(C$11-C$10)*(C$13-C$12))*IF(C$14&lt;&gt;"",C$14,1))</f>
        <v>46295.944594907407</v>
      </c>
      <c r="D56" s="4" cm="1">
        <f t="array" aca="1" ref="D56" ca="1">IF(ROWS(B$18:B56)&gt;D$8-D$7+1,
   NA(),
   IF(OR(D$7="",D$8="",D$7=D$8),
      NA(),
      (INDIRECT(ADDRESS(D$7+ROWS($B$18:B56)-1,COLUMN(INDIRECT(D$9&amp;1)),,,D$6))-D$10)/(D$11-D$10)*(D$13-D$12))*IF(D$14&lt;&gt;"",D$14,1))</f>
        <v>1.9</v>
      </c>
      <c r="E56" s="4" t="e" cm="1">
        <f t="array" aca="1" ref="E56" ca="1">IF(ROWS(C$18:C56)&gt;E$8-E$7+1,
   NA(),
   IF(OR(E$7="",E$8="",E$7=E$8),
      NA(),
      (INDIRECT(ADDRESS(E$7+ROWS($B$18:C56)-1,COLUMN(INDIRECT(E$9&amp;1)),,,E$6))-E$10)/(E$11-E$10)*(E$13-E$12))*IF(E$14&lt;&gt;"",E$14,1))</f>
        <v>#VALUE!</v>
      </c>
      <c r="F56" s="4" cm="1">
        <f t="array" aca="1" ref="F56" ca="1">IF(ROWS(D$18:D56)&gt;F$8-F$7+1,
   NA(),
   IF(OR(F$7="",F$8="",F$7=F$8),
      NA(),
      (INDIRECT(ADDRESS(F$7+ROWS($B$18:D56)-1,COLUMN(INDIRECT(F$9&amp;1)),,,F$6))-F$10)/(F$11-F$10)*(F$13-F$12))*IF(F$14&lt;&gt;"",F$14,1))</f>
        <v>82.386779785154999</v>
      </c>
      <c r="I56" s="3" cm="1">
        <f t="array" aca="1" ref="I56" ca="1">IF(ROWS(G$18:G56)&gt;I$8-I$7+1,
   NA(),
   IF(OR(I$7="",I$8="",I$7=I$8),
      NA(),
      (INDIRECT(ADDRESS(I$7+ROWS($B$18:G56)-1,COLUMN(INDIRECT(I$9&amp;1)),,,I$6))-I$10)/(I$11-I$10)*(I$13-I$12))*IF(I$14&lt;&gt;"",I$14,1))</f>
        <v>46295.969687500001</v>
      </c>
      <c r="J56" s="4" cm="1">
        <f t="array" aca="1" ref="J56" ca="1">IF(ROWS(H$18:H56)&gt;J$8-J$7+1,
   NA(),
   IF(OR(J$7="",J$8="",J$7=J$8),
      NA(),
      (INDIRECT(ADDRESS(J$7+ROWS($B$18:H56)-1,COLUMN(INDIRECT(J$9&amp;1)),,,J$6))-J$10)/(J$11-J$10)*(J$13-J$12))*IF(J$14&lt;&gt;"",J$14,1))</f>
        <v>0.9</v>
      </c>
      <c r="K56" s="4" cm="1">
        <f t="array" aca="1" ref="K56" ca="1">IF(ROWS(I$18:I56)&gt;K$8-K$7+1,
   NA(),
   IF(OR(K$7="",K$8="",K$7=K$8),
      NA(),
      (INDIRECT(ADDRESS(K$7+ROWS($B$18:I56)-1,COLUMN(INDIRECT(K$9&amp;1)),,,K$6))-K$10)/(K$11-K$10)*(K$13-K$12))*IF(K$14&lt;&gt;"",K$14,1))</f>
        <v>89.030914306640597</v>
      </c>
      <c r="L56" s="4" cm="1">
        <f t="array" aca="1" ref="L56" ca="1">IF(ROWS(J$18:J56)&gt;L$8-L$7+1,
   NA(),
   IF(OR(L$7="",L$8="",L$7=L$8),
      NA(),
      (INDIRECT(ADDRESS(L$7+ROWS($B$18:J56)-1,COLUMN(INDIRECT(L$9&amp;1)),,,L$6))-L$10)/(L$11-L$10)*(L$13-L$12))*IF(L$14&lt;&gt;"",L$14,1))</f>
        <v>-436.852301025391</v>
      </c>
    </row>
    <row r="57" spans="3:12" x14ac:dyDescent="0.2">
      <c r="C57" s="3" cm="1">
        <f t="array" aca="1" ref="C57" ca="1">IF(ROWS(A$18:A57)&gt;C$8-C$7+1,
   NA(),
   IF(OR(C$7="",C$8="",C$7=C$8),
      NA(),
      (INDIRECT(ADDRESS(C$7+ROWS(A$18:$B57)-1,COLUMN(INDIRECT(C$9&amp;1)),,,C$6))-C$10)/(C$11-C$10)*(C$13-C$12))*IF(C$14&lt;&gt;"",C$14,1))</f>
        <v>46295.94462962963</v>
      </c>
      <c r="D57" s="4" cm="1">
        <f t="array" aca="1" ref="D57" ca="1">IF(ROWS(B$18:B57)&gt;D$8-D$7+1,
   NA(),
   IF(OR(D$7="",D$8="",D$7=D$8),
      NA(),
      (INDIRECT(ADDRESS(D$7+ROWS($B$18:B57)-1,COLUMN(INDIRECT(D$9&amp;1)),,,D$6))-D$10)/(D$11-D$10)*(D$13-D$12))*IF(D$14&lt;&gt;"",D$14,1))</f>
        <v>1.8</v>
      </c>
      <c r="E57" s="4" t="e" cm="1">
        <f t="array" aca="1" ref="E57" ca="1">IF(ROWS(C$18:C57)&gt;E$8-E$7+1,
   NA(),
   IF(OR(E$7="",E$8="",E$7=E$8),
      NA(),
      (INDIRECT(ADDRESS(E$7+ROWS($B$18:C57)-1,COLUMN(INDIRECT(E$9&amp;1)),,,E$6))-E$10)/(E$11-E$10)*(E$13-E$12))*IF(E$14&lt;&gt;"",E$14,1))</f>
        <v>#VALUE!</v>
      </c>
      <c r="F57" s="4" cm="1">
        <f t="array" aca="1" ref="F57" ca="1">IF(ROWS(D$18:D57)&gt;F$8-F$7+1,
   NA(),
   IF(OR(F$7="",F$8="",F$7=F$8),
      NA(),
      (INDIRECT(ADDRESS(F$7+ROWS($B$18:D57)-1,COLUMN(INDIRECT(F$9&amp;1)),,,F$6))-F$10)/(F$11-F$10)*(F$13-F$12))*IF(F$14&lt;&gt;"",F$14,1))</f>
        <v>82.051086425779999</v>
      </c>
      <c r="I57" s="3" cm="1">
        <f t="array" aca="1" ref="I57" ca="1">IF(ROWS(G$18:G57)&gt;I$8-I$7+1,
   NA(),
   IF(OR(I$7="",I$8="",I$7=I$8),
      NA(),
      (INDIRECT(ADDRESS(I$7+ROWS($B$18:G57)-1,COLUMN(INDIRECT(I$9&amp;1)),,,I$6))-I$10)/(I$11-I$10)*(I$13-I$12))*IF(I$14&lt;&gt;"",I$14,1))</f>
        <v>46295.969722222224</v>
      </c>
      <c r="J57" s="4" cm="1">
        <f t="array" aca="1" ref="J57" ca="1">IF(ROWS(H$18:H57)&gt;J$8-J$7+1,
   NA(),
   IF(OR(J$7="",J$8="",J$7=J$8),
      NA(),
      (INDIRECT(ADDRESS(J$7+ROWS($B$18:H57)-1,COLUMN(INDIRECT(J$9&amp;1)),,,J$6))-J$10)/(J$11-J$10)*(J$13-J$12))*IF(J$14&lt;&gt;"",J$14,1))</f>
        <v>0.95</v>
      </c>
      <c r="K57" s="4" cm="1">
        <f t="array" aca="1" ref="K57" ca="1">IF(ROWS(I$18:I57)&gt;K$8-K$7+1,
   NA(),
   IF(OR(K$7="",K$8="",K$7=K$8),
      NA(),
      (INDIRECT(ADDRESS(K$7+ROWS($B$18:I57)-1,COLUMN(INDIRECT(K$9&amp;1)),,,K$6))-K$10)/(K$11-K$10)*(K$13-K$12))*IF(K$14&lt;&gt;"",K$14,1))</f>
        <v>80.302284240722699</v>
      </c>
      <c r="L57" s="4" cm="1">
        <f t="array" aca="1" ref="L57" ca="1">IF(ROWS(J$18:J57)&gt;L$8-L$7+1,
   NA(),
   IF(OR(L$7="",L$8="",L$7=L$8),
      NA(),
      (INDIRECT(ADDRESS(L$7+ROWS($B$18:J57)-1,COLUMN(INDIRECT(L$9&amp;1)),,,L$6))-L$10)/(L$11-L$10)*(L$13-L$12))*IF(L$14&lt;&gt;"",L$14,1))</f>
        <v>-436.86511840820299</v>
      </c>
    </row>
    <row r="58" spans="3:12" x14ac:dyDescent="0.2">
      <c r="C58" s="3" cm="1">
        <f t="array" aca="1" ref="C58" ca="1">IF(ROWS(A$18:A58)&gt;C$8-C$7+1,
   NA(),
   IF(OR(C$7="",C$8="",C$7=C$8),
      NA(),
      (INDIRECT(ADDRESS(C$7+ROWS(A$18:$B58)-1,COLUMN(INDIRECT(C$9&amp;1)),,,C$6))-C$10)/(C$11-C$10)*(C$13-C$12))*IF(C$14&lt;&gt;"",C$14,1))</f>
        <v>46295.944664351853</v>
      </c>
      <c r="D58" s="4" cm="1">
        <f t="array" aca="1" ref="D58" ca="1">IF(ROWS(B$18:B58)&gt;D$8-D$7+1,
   NA(),
   IF(OR(D$7="",D$8="",D$7=D$8),
      NA(),
      (INDIRECT(ADDRESS(D$7+ROWS($B$18:B58)-1,COLUMN(INDIRECT(D$9&amp;1)),,,D$6))-D$10)/(D$11-D$10)*(D$13-D$12))*IF(D$14&lt;&gt;"",D$14,1))</f>
        <v>1.7</v>
      </c>
      <c r="E58" s="4" t="e" cm="1">
        <f t="array" aca="1" ref="E58" ca="1">IF(ROWS(C$18:C58)&gt;E$8-E$7+1,
   NA(),
   IF(OR(E$7="",E$8="",E$7=E$8),
      NA(),
      (INDIRECT(ADDRESS(E$7+ROWS($B$18:C58)-1,COLUMN(INDIRECT(E$9&amp;1)),,,E$6))-E$10)/(E$11-E$10)*(E$13-E$12))*IF(E$14&lt;&gt;"",E$14,1))</f>
        <v>#VALUE!</v>
      </c>
      <c r="F58" s="4" cm="1">
        <f t="array" aca="1" ref="F58" ca="1">IF(ROWS(D$18:D58)&gt;F$8-F$7+1,
   NA(),
   IF(OR(F$7="",F$8="",F$7=F$8),
      NA(),
      (INDIRECT(ADDRESS(F$7+ROWS($B$18:D58)-1,COLUMN(INDIRECT(F$9&amp;1)),,,F$6))-F$10)/(F$11-F$10)*(F$13-F$12))*IF(F$14&lt;&gt;"",F$14,1))</f>
        <v>65.251159667970001</v>
      </c>
      <c r="I58" s="3" cm="1">
        <f t="array" aca="1" ref="I58" ca="1">IF(ROWS(G$18:G58)&gt;I$8-I$7+1,
   NA(),
   IF(OR(I$7="",I$8="",I$7=I$8),
      NA(),
      (INDIRECT(ADDRESS(I$7+ROWS($B$18:G58)-1,COLUMN(INDIRECT(I$9&amp;1)),,,I$6))-I$10)/(I$11-I$10)*(I$13-I$12))*IF(I$14&lt;&gt;"",I$14,1))</f>
        <v>46295.969756944447</v>
      </c>
      <c r="J58" s="4" cm="1">
        <f t="array" aca="1" ref="J58" ca="1">IF(ROWS(H$18:H58)&gt;J$8-J$7+1,
   NA(),
   IF(OR(J$7="",J$8="",J$7=J$8),
      NA(),
      (INDIRECT(ADDRESS(J$7+ROWS($B$18:H58)-1,COLUMN(INDIRECT(J$9&amp;1)),,,J$6))-J$10)/(J$11-J$10)*(J$13-J$12))*IF(J$14&lt;&gt;"",J$14,1))</f>
        <v>1</v>
      </c>
      <c r="K58" s="4" cm="1">
        <f t="array" aca="1" ref="K58" ca="1">IF(ROWS(I$18:I58)&gt;K$8-K$7+1,
   NA(),
   IF(OR(K$7="",K$8="",K$7=K$8),
      NA(),
      (INDIRECT(ADDRESS(K$7+ROWS($B$18:I58)-1,COLUMN(INDIRECT(K$9&amp;1)),,,K$6))-K$10)/(K$11-K$10)*(K$13-K$12))*IF(K$14&lt;&gt;"",K$14,1))</f>
        <v>71.713798522949205</v>
      </c>
      <c r="L58" s="4" cm="1">
        <f t="array" aca="1" ref="L58" ca="1">IF(ROWS(J$18:J58)&gt;L$8-L$7+1,
   NA(),
   IF(OR(L$7="",L$8="",L$7=L$8),
      NA(),
      (INDIRECT(ADDRESS(L$7+ROWS($B$18:J58)-1,COLUMN(INDIRECT(L$9&amp;1)),,,L$6))-L$10)/(L$11-L$10)*(L$13-L$12))*IF(L$14&lt;&gt;"",L$14,1))</f>
        <v>-436.98566284179697</v>
      </c>
    </row>
    <row r="59" spans="3:12" x14ac:dyDescent="0.2">
      <c r="C59" s="3" cm="1">
        <f t="array" aca="1" ref="C59" ca="1">IF(ROWS(A$18:A59)&gt;C$8-C$7+1,
   NA(),
   IF(OR(C$7="",C$8="",C$7=C$8),
      NA(),
      (INDIRECT(ADDRESS(C$7+ROWS(A$18:$B59)-1,COLUMN(INDIRECT(C$9&amp;1)),,,C$6))-C$10)/(C$11-C$10)*(C$13-C$12))*IF(C$14&lt;&gt;"",C$14,1))</f>
        <v>46295.944699074076</v>
      </c>
      <c r="D59" s="4" cm="1">
        <f t="array" aca="1" ref="D59" ca="1">IF(ROWS(B$18:B59)&gt;D$8-D$7+1,
   NA(),
   IF(OR(D$7="",D$8="",D$7=D$8),
      NA(),
      (INDIRECT(ADDRESS(D$7+ROWS($B$18:B59)-1,COLUMN(INDIRECT(D$9&amp;1)),,,D$6))-D$10)/(D$11-D$10)*(D$13-D$12))*IF(D$14&lt;&gt;"",D$14,1))</f>
        <v>1.6</v>
      </c>
      <c r="E59" s="4" t="e" cm="1">
        <f t="array" aca="1" ref="E59" ca="1">IF(ROWS(C$18:C59)&gt;E$8-E$7+1,
   NA(),
   IF(OR(E$7="",E$8="",E$7=E$8),
      NA(),
      (INDIRECT(ADDRESS(E$7+ROWS($B$18:C59)-1,COLUMN(INDIRECT(E$9&amp;1)),,,E$6))-E$10)/(E$11-E$10)*(E$13-E$12))*IF(E$14&lt;&gt;"",E$14,1))</f>
        <v>#VALUE!</v>
      </c>
      <c r="F59" s="4" cm="1">
        <f t="array" aca="1" ref="F59" ca="1">IF(ROWS(D$18:D59)&gt;F$8-F$7+1,
   NA(),
   IF(OR(F$7="",F$8="",F$7=F$8),
      NA(),
      (INDIRECT(ADDRESS(F$7+ROWS($B$18:D59)-1,COLUMN(INDIRECT(F$9&amp;1)),,,F$6))-F$10)/(F$11-F$10)*(F$13-F$12))*IF(F$14&lt;&gt;"",F$14,1))</f>
        <v>55.775451660155007</v>
      </c>
      <c r="I59" s="3" cm="1">
        <f t="array" aca="1" ref="I59" ca="1">IF(ROWS(G$18:G59)&gt;I$8-I$7+1,
   NA(),
   IF(OR(I$7="",I$8="",I$7=I$8),
      NA(),
      (INDIRECT(ADDRESS(I$7+ROWS($B$18:G59)-1,COLUMN(INDIRECT(I$9&amp;1)),,,I$6))-I$10)/(I$11-I$10)*(I$13-I$12))*IF(I$14&lt;&gt;"",I$14,1))</f>
        <v>46295.96979166667</v>
      </c>
      <c r="J59" s="4" cm="1">
        <f t="array" aca="1" ref="J59" ca="1">IF(ROWS(H$18:H59)&gt;J$8-J$7+1,
   NA(),
   IF(OR(J$7="",J$8="",J$7=J$8),
      NA(),
      (INDIRECT(ADDRESS(J$7+ROWS($B$18:H59)-1,COLUMN(INDIRECT(J$9&amp;1)),,,J$6))-J$10)/(J$11-J$10)*(J$13-J$12))*IF(J$14&lt;&gt;"",J$14,1))</f>
        <v>1.05</v>
      </c>
      <c r="K59" s="4" cm="1">
        <f t="array" aca="1" ref="K59" ca="1">IF(ROWS(I$18:I59)&gt;K$8-K$7+1,
   NA(),
   IF(OR(K$7="",K$8="",K$7=K$8),
      NA(),
      (INDIRECT(ADDRESS(K$7+ROWS($B$18:I59)-1,COLUMN(INDIRECT(K$9&amp;1)),,,K$6))-K$10)/(K$11-K$10)*(K$13-K$12))*IF(K$14&lt;&gt;"",K$14,1))</f>
        <v>62.875522613525398</v>
      </c>
      <c r="L59" s="4" cm="1">
        <f t="array" aca="1" ref="L59" ca="1">IF(ROWS(J$18:J59)&gt;L$8-L$7+1,
   NA(),
   IF(OR(L$7="",L$8="",L$7=L$8),
      NA(),
      (INDIRECT(ADDRESS(L$7+ROWS($B$18:J59)-1,COLUMN(INDIRECT(L$9&amp;1)),,,L$6))-L$10)/(L$11-L$10)*(L$13-L$12))*IF(L$14&lt;&gt;"",L$14,1))</f>
        <v>-437.01190795898395</v>
      </c>
    </row>
    <row r="60" spans="3:12" x14ac:dyDescent="0.2">
      <c r="C60" s="3" cm="1">
        <f t="array" aca="1" ref="C60" ca="1">IF(ROWS(A$18:A60)&gt;C$8-C$7+1,
   NA(),
   IF(OR(C$7="",C$8="",C$7=C$8),
      NA(),
      (INDIRECT(ADDRESS(C$7+ROWS(A$18:$B60)-1,COLUMN(INDIRECT(C$9&amp;1)),,,C$6))-C$10)/(C$11-C$10)*(C$13-C$12))*IF(C$14&lt;&gt;"",C$14,1))</f>
        <v>46295.944733796299</v>
      </c>
      <c r="D60" s="4" cm="1">
        <f t="array" aca="1" ref="D60" ca="1">IF(ROWS(B$18:B60)&gt;D$8-D$7+1,
   NA(),
   IF(OR(D$7="",D$8="",D$7=D$8),
      NA(),
      (INDIRECT(ADDRESS(D$7+ROWS($B$18:B60)-1,COLUMN(INDIRECT(D$9&amp;1)),,,D$6))-D$10)/(D$11-D$10)*(D$13-D$12))*IF(D$14&lt;&gt;"",D$14,1))</f>
        <v>1.5</v>
      </c>
      <c r="E60" s="4" t="e" cm="1">
        <f t="array" aca="1" ref="E60" ca="1">IF(ROWS(C$18:C60)&gt;E$8-E$7+1,
   NA(),
   IF(OR(E$7="",E$8="",E$7=E$8),
      NA(),
      (INDIRECT(ADDRESS(E$7+ROWS($B$18:C60)-1,COLUMN(INDIRECT(E$9&amp;1)),,,E$6))-E$10)/(E$11-E$10)*(E$13-E$12))*IF(E$14&lt;&gt;"",E$14,1))</f>
        <v>#VALUE!</v>
      </c>
      <c r="F60" s="4" cm="1">
        <f t="array" aca="1" ref="F60" ca="1">IF(ROWS(D$18:D60)&gt;F$8-F$7+1,
   NA(),
   IF(OR(F$7="",F$8="",F$7=F$8),
      NA(),
      (INDIRECT(ADDRESS(F$7+ROWS($B$18:D60)-1,COLUMN(INDIRECT(F$9&amp;1)),,,F$6))-F$10)/(F$11-F$10)*(F$13-F$12))*IF(F$14&lt;&gt;"",F$14,1))</f>
        <v>55.744934082030007</v>
      </c>
      <c r="I60" s="3" cm="1">
        <f t="array" aca="1" ref="I60" ca="1">IF(ROWS(G$18:G60)&gt;I$8-I$7+1,
   NA(),
   IF(OR(I$7="",I$8="",I$7=I$8),
      NA(),
      (INDIRECT(ADDRESS(I$7+ROWS($B$18:G60)-1,COLUMN(INDIRECT(I$9&amp;1)),,,I$6))-I$10)/(I$11-I$10)*(I$13-I$12))*IF(I$14&lt;&gt;"",I$14,1))</f>
        <v>46295.969826388886</v>
      </c>
      <c r="J60" s="4" cm="1">
        <f t="array" aca="1" ref="J60" ca="1">IF(ROWS(H$18:H60)&gt;J$8-J$7+1,
   NA(),
   IF(OR(J$7="",J$8="",J$7=J$8),
      NA(),
      (INDIRECT(ADDRESS(J$7+ROWS($B$18:H60)-1,COLUMN(INDIRECT(J$9&amp;1)),,,J$6))-J$10)/(J$11-J$10)*(J$13-J$12))*IF(J$14&lt;&gt;"",J$14,1))</f>
        <v>1.1000000000000001</v>
      </c>
      <c r="K60" s="4" cm="1">
        <f t="array" aca="1" ref="K60" ca="1">IF(ROWS(I$18:I60)&gt;K$8-K$7+1,
   NA(),
   IF(OR(K$7="",K$8="",K$7=K$8),
      NA(),
      (INDIRECT(ADDRESS(K$7+ROWS($B$18:I60)-1,COLUMN(INDIRECT(K$9&amp;1)),,,K$6))-K$10)/(K$11-K$10)*(K$13-K$12))*IF(K$14&lt;&gt;"",K$14,1))</f>
        <v>55.874320983886697</v>
      </c>
      <c r="L60" s="4" cm="1">
        <f t="array" aca="1" ref="L60" ca="1">IF(ROWS(J$18:J60)&gt;L$8-L$7+1,
   NA(),
   IF(OR(L$7="",L$8="",L$7=L$8),
      NA(),
      (INDIRECT(ADDRESS(L$7+ROWS($B$18:J60)-1,COLUMN(INDIRECT(L$9&amp;1)),,,L$6))-L$10)/(L$11-L$10)*(L$13-L$12))*IF(L$14&lt;&gt;"",L$14,1))</f>
        <v>-437.20554199218799</v>
      </c>
    </row>
    <row r="61" spans="3:12" x14ac:dyDescent="0.2">
      <c r="C61" s="3" cm="1">
        <f t="array" aca="1" ref="C61" ca="1">IF(ROWS(A$18:A61)&gt;C$8-C$7+1,
   NA(),
   IF(OR(C$7="",C$8="",C$7=C$8),
      NA(),
      (INDIRECT(ADDRESS(C$7+ROWS(A$18:$B61)-1,COLUMN(INDIRECT(C$9&amp;1)),,,C$6))-C$10)/(C$11-C$10)*(C$13-C$12))*IF(C$14&lt;&gt;"",C$14,1))</f>
        <v>46295.944768518515</v>
      </c>
      <c r="D61" s="4" cm="1">
        <f t="array" aca="1" ref="D61" ca="1">IF(ROWS(B$18:B61)&gt;D$8-D$7+1,
   NA(),
   IF(OR(D$7="",D$8="",D$7=D$8),
      NA(),
      (INDIRECT(ADDRESS(D$7+ROWS($B$18:B61)-1,COLUMN(INDIRECT(D$9&amp;1)),,,D$6))-D$10)/(D$11-D$10)*(D$13-D$12))*IF(D$14&lt;&gt;"",D$14,1))</f>
        <v>1.4</v>
      </c>
      <c r="E61" s="4" t="e" cm="1">
        <f t="array" aca="1" ref="E61" ca="1">IF(ROWS(C$18:C61)&gt;E$8-E$7+1,
   NA(),
   IF(OR(E$7="",E$8="",E$7=E$8),
      NA(),
      (INDIRECT(ADDRESS(E$7+ROWS($B$18:C61)-1,COLUMN(INDIRECT(E$9&amp;1)),,,E$6))-E$10)/(E$11-E$10)*(E$13-E$12))*IF(E$14&lt;&gt;"",E$14,1))</f>
        <v>#VALUE!</v>
      </c>
      <c r="F61" s="4" cm="1">
        <f t="array" aca="1" ref="F61" ca="1">IF(ROWS(D$18:D61)&gt;F$8-F$7+1,
   NA(),
   IF(OR(F$7="",F$8="",F$7=F$8),
      NA(),
      (INDIRECT(ADDRESS(F$7+ROWS($B$18:D61)-1,COLUMN(INDIRECT(F$9&amp;1)),,,F$6))-F$10)/(F$11-F$10)*(F$13-F$12))*IF(F$14&lt;&gt;"",F$14,1))</f>
        <v>58.453369140625</v>
      </c>
      <c r="I61" s="3" cm="1">
        <f t="array" aca="1" ref="I61" ca="1">IF(ROWS(G$18:G61)&gt;I$8-I$7+1,
   NA(),
   IF(OR(I$7="",I$8="",I$7=I$8),
      NA(),
      (INDIRECT(ADDRESS(I$7+ROWS($B$18:G61)-1,COLUMN(INDIRECT(I$9&amp;1)),,,I$6))-I$10)/(I$11-I$10)*(I$13-I$12))*IF(I$14&lt;&gt;"",I$14,1))</f>
        <v>46295.969861111109</v>
      </c>
      <c r="J61" s="4" cm="1">
        <f t="array" aca="1" ref="J61" ca="1">IF(ROWS(H$18:H61)&gt;J$8-J$7+1,
   NA(),
   IF(OR(J$7="",J$8="",J$7=J$8),
      NA(),
      (INDIRECT(ADDRESS(J$7+ROWS($B$18:H61)-1,COLUMN(INDIRECT(J$9&amp;1)),,,J$6))-J$10)/(J$11-J$10)*(J$13-J$12))*IF(J$14&lt;&gt;"",J$14,1))</f>
        <v>1.1499999999999999</v>
      </c>
      <c r="K61" s="4" cm="1">
        <f t="array" aca="1" ref="K61" ca="1">IF(ROWS(I$18:I61)&gt;K$8-K$7+1,
   NA(),
   IF(OR(K$7="",K$8="",K$7=K$8),
      NA(),
      (INDIRECT(ADDRESS(K$7+ROWS($B$18:I61)-1,COLUMN(INDIRECT(K$9&amp;1)),,,K$6))-K$10)/(K$11-K$10)*(K$13-K$12))*IF(K$14&lt;&gt;"",K$14,1))</f>
        <v>49.527347564697301</v>
      </c>
      <c r="L61" s="4" cm="1">
        <f t="array" aca="1" ref="L61" ca="1">IF(ROWS(J$18:J61)&gt;L$8-L$7+1,
   NA(),
   IF(OR(L$7="",L$8="",L$7=L$8),
      NA(),
      (INDIRECT(ADDRESS(L$7+ROWS($B$18:J61)-1,COLUMN(INDIRECT(L$9&amp;1)),,,L$6))-L$10)/(L$11-L$10)*(L$13-L$12))*IF(L$14&lt;&gt;"",L$14,1))</f>
        <v>-436.99359741210895</v>
      </c>
    </row>
    <row r="62" spans="3:12" x14ac:dyDescent="0.2">
      <c r="C62" s="3" cm="1">
        <f t="array" aca="1" ref="C62" ca="1">IF(ROWS(A$18:A62)&gt;C$8-C$7+1,
   NA(),
   IF(OR(C$7="",C$8="",C$7=C$8),
      NA(),
      (INDIRECT(ADDRESS(C$7+ROWS(A$18:$B62)-1,COLUMN(INDIRECT(C$9&amp;1)),,,C$6))-C$10)/(C$11-C$10)*(C$13-C$12))*IF(C$14&lt;&gt;"",C$14,1))</f>
        <v>46295.944803240738</v>
      </c>
      <c r="D62" s="4" cm="1">
        <f t="array" aca="1" ref="D62" ca="1">IF(ROWS(B$18:B62)&gt;D$8-D$7+1,
   NA(),
   IF(OR(D$7="",D$8="",D$7=D$8),
      NA(),
      (INDIRECT(ADDRESS(D$7+ROWS($B$18:B62)-1,COLUMN(INDIRECT(D$9&amp;1)),,,D$6))-D$10)/(D$11-D$10)*(D$13-D$12))*IF(D$14&lt;&gt;"",D$14,1))</f>
        <v>1.3</v>
      </c>
      <c r="E62" s="4" t="e" cm="1">
        <f t="array" aca="1" ref="E62" ca="1">IF(ROWS(C$18:C62)&gt;E$8-E$7+1,
   NA(),
   IF(OR(E$7="",E$8="",E$7=E$8),
      NA(),
      (INDIRECT(ADDRESS(E$7+ROWS($B$18:C62)-1,COLUMN(INDIRECT(E$9&amp;1)),,,E$6))-E$10)/(E$11-E$10)*(E$13-E$12))*IF(E$14&lt;&gt;"",E$14,1))</f>
        <v>#VALUE!</v>
      </c>
      <c r="F62" s="4" cm="1">
        <f t="array" aca="1" ref="F62" ca="1">IF(ROWS(D$18:D62)&gt;F$8-F$7+1,
   NA(),
   IF(OR(F$7="",F$8="",F$7=F$8),
      NA(),
      (INDIRECT(ADDRESS(F$7+ROWS($B$18:D62)-1,COLUMN(INDIRECT(F$9&amp;1)),,,F$6))-F$10)/(F$11-F$10)*(F$13-F$12))*IF(F$14&lt;&gt;"",F$14,1))</f>
        <v>44.659423828125</v>
      </c>
      <c r="I62" s="3" cm="1">
        <f t="array" aca="1" ref="I62" ca="1">IF(ROWS(G$18:G62)&gt;I$8-I$7+1,
   NA(),
   IF(OR(I$7="",I$8="",I$7=I$8),
      NA(),
      (INDIRECT(ADDRESS(I$7+ROWS($B$18:G62)-1,COLUMN(INDIRECT(I$9&amp;1)),,,I$6))-I$10)/(I$11-I$10)*(I$13-I$12))*IF(I$14&lt;&gt;"",I$14,1))</f>
        <v>46295.969895833332</v>
      </c>
      <c r="J62" s="4" cm="1">
        <f t="array" aca="1" ref="J62" ca="1">IF(ROWS(H$18:H62)&gt;J$8-J$7+1,
   NA(),
   IF(OR(J$7="",J$8="",J$7=J$8),
      NA(),
      (INDIRECT(ADDRESS(J$7+ROWS($B$18:H62)-1,COLUMN(INDIRECT(J$9&amp;1)),,,J$6))-J$10)/(J$11-J$10)*(J$13-J$12))*IF(J$14&lt;&gt;"",J$14,1))</f>
        <v>1.2</v>
      </c>
      <c r="K62" s="4" cm="1">
        <f t="array" aca="1" ref="K62" ca="1">IF(ROWS(I$18:I62)&gt;K$8-K$7+1,
   NA(),
   IF(OR(K$7="",K$8="",K$7=K$8),
      NA(),
      (INDIRECT(ADDRESS(K$7+ROWS($B$18:I62)-1,COLUMN(INDIRECT(K$9&amp;1)),,,K$6))-K$10)/(K$11-K$10)*(K$13-K$12))*IF(K$14&lt;&gt;"",K$14,1))</f>
        <v>43.4679145812988</v>
      </c>
      <c r="L62" s="4" cm="1">
        <f t="array" aca="1" ref="L62" ca="1">IF(ROWS(J$18:J62)&gt;L$8-L$7+1,
   NA(),
   IF(OR(L$7="",L$8="",L$7=L$8),
      NA(),
      (INDIRECT(ADDRESS(L$7+ROWS($B$18:J62)-1,COLUMN(INDIRECT(L$9&amp;1)),,,L$6))-L$10)/(L$11-L$10)*(L$13-L$12))*IF(L$14&lt;&gt;"",L$14,1))</f>
        <v>-437.11322631835895</v>
      </c>
    </row>
    <row r="63" spans="3:12" x14ac:dyDescent="0.2">
      <c r="C63" s="3" cm="1">
        <f t="array" aca="1" ref="C63" ca="1">IF(ROWS(A$18:A63)&gt;C$8-C$7+1,
   NA(),
   IF(OR(C$7="",C$8="",C$7=C$8),
      NA(),
      (INDIRECT(ADDRESS(C$7+ROWS(A$18:$B63)-1,COLUMN(INDIRECT(C$9&amp;1)),,,C$6))-C$10)/(C$11-C$10)*(C$13-C$12))*IF(C$14&lt;&gt;"",C$14,1))</f>
        <v>46295.944837962961</v>
      </c>
      <c r="D63" s="4" cm="1">
        <f t="array" aca="1" ref="D63" ca="1">IF(ROWS(B$18:B63)&gt;D$8-D$7+1,
   NA(),
   IF(OR(D$7="",D$8="",D$7=D$8),
      NA(),
      (INDIRECT(ADDRESS(D$7+ROWS($B$18:B63)-1,COLUMN(INDIRECT(D$9&amp;1)),,,D$6))-D$10)/(D$11-D$10)*(D$13-D$12))*IF(D$14&lt;&gt;"",D$14,1))</f>
        <v>1.2</v>
      </c>
      <c r="E63" s="4" t="e" cm="1">
        <f t="array" aca="1" ref="E63" ca="1">IF(ROWS(C$18:C63)&gt;E$8-E$7+1,
   NA(),
   IF(OR(E$7="",E$8="",E$7=E$8),
      NA(),
      (INDIRECT(ADDRESS(E$7+ROWS($B$18:C63)-1,COLUMN(INDIRECT(E$9&amp;1)),,,E$6))-E$10)/(E$11-E$10)*(E$13-E$12))*IF(E$14&lt;&gt;"",E$14,1))</f>
        <v>#VALUE!</v>
      </c>
      <c r="F63" s="4" cm="1">
        <f t="array" aca="1" ref="F63" ca="1">IF(ROWS(D$18:D63)&gt;F$8-F$7+1,
   NA(),
   IF(OR(F$7="",F$8="",F$7=F$8),
      NA(),
      (INDIRECT(ADDRESS(F$7+ROWS($B$18:D63)-1,COLUMN(INDIRECT(F$9&amp;1)),,,F$6))-F$10)/(F$11-F$10)*(F$13-F$12))*IF(F$14&lt;&gt;"",F$14,1))</f>
        <v>33.9630126953125</v>
      </c>
      <c r="I63" s="3" cm="1">
        <f t="array" aca="1" ref="I63" ca="1">IF(ROWS(G$18:G63)&gt;I$8-I$7+1,
   NA(),
   IF(OR(I$7="",I$8="",I$7=I$8),
      NA(),
      (INDIRECT(ADDRESS(I$7+ROWS($B$18:G63)-1,COLUMN(INDIRECT(I$9&amp;1)),,,I$6))-I$10)/(I$11-I$10)*(I$13-I$12))*IF(I$14&lt;&gt;"",I$14,1))</f>
        <v>46295.969930555555</v>
      </c>
      <c r="J63" s="4" cm="1">
        <f t="array" aca="1" ref="J63" ca="1">IF(ROWS(H$18:H63)&gt;J$8-J$7+1,
   NA(),
   IF(OR(J$7="",J$8="",J$7=J$8),
      NA(),
      (INDIRECT(ADDRESS(J$7+ROWS($B$18:H63)-1,COLUMN(INDIRECT(J$9&amp;1)),,,J$6))-J$10)/(J$11-J$10)*(J$13-J$12))*IF(J$14&lt;&gt;"",J$14,1))</f>
        <v>1.25</v>
      </c>
      <c r="K63" s="4" cm="1">
        <f t="array" aca="1" ref="K63" ca="1">IF(ROWS(I$18:I63)&gt;K$8-K$7+1,
   NA(),
   IF(OR(K$7="",K$8="",K$7=K$8),
      NA(),
      (INDIRECT(ADDRESS(K$7+ROWS($B$18:I63)-1,COLUMN(INDIRECT(K$9&amp;1)),,,K$6))-K$10)/(K$11-K$10)*(K$13-K$12))*IF(K$14&lt;&gt;"",K$14,1))</f>
        <v>37.947261810302699</v>
      </c>
      <c r="L63" s="4" cm="1">
        <f t="array" aca="1" ref="L63" ca="1">IF(ROWS(J$18:J63)&gt;L$8-L$7+1,
   NA(),
   IF(OR(L$7="",L$8="",L$7=L$8),
      NA(),
      (INDIRECT(ADDRESS(L$7+ROWS($B$18:J63)-1,COLUMN(INDIRECT(L$9&amp;1)),,,L$6))-L$10)/(L$11-L$10)*(L$13-L$12))*IF(L$14&lt;&gt;"",L$14,1))</f>
        <v>-437.17990722656299</v>
      </c>
    </row>
    <row r="64" spans="3:12" x14ac:dyDescent="0.2">
      <c r="C64" s="3" cm="1">
        <f t="array" aca="1" ref="C64" ca="1">IF(ROWS(A$18:A64)&gt;C$8-C$7+1,
   NA(),
   IF(OR(C$7="",C$8="",C$7=C$8),
      NA(),
      (INDIRECT(ADDRESS(C$7+ROWS(A$18:$B64)-1,COLUMN(INDIRECT(C$9&amp;1)),,,C$6))-C$10)/(C$11-C$10)*(C$13-C$12))*IF(C$14&lt;&gt;"",C$14,1))</f>
        <v>46295.944872685184</v>
      </c>
      <c r="D64" s="4" cm="1">
        <f t="array" aca="1" ref="D64" ca="1">IF(ROWS(B$18:B64)&gt;D$8-D$7+1,
   NA(),
   IF(OR(D$7="",D$8="",D$7=D$8),
      NA(),
      (INDIRECT(ADDRESS(D$7+ROWS($B$18:B64)-1,COLUMN(INDIRECT(D$9&amp;1)),,,D$6))-D$10)/(D$11-D$10)*(D$13-D$12))*IF(D$14&lt;&gt;"",D$14,1))</f>
        <v>1.1000000000000001</v>
      </c>
      <c r="E64" s="4" t="e" cm="1">
        <f t="array" aca="1" ref="E64" ca="1">IF(ROWS(C$18:C64)&gt;E$8-E$7+1,
   NA(),
   IF(OR(E$7="",E$8="",E$7=E$8),
      NA(),
      (INDIRECT(ADDRESS(E$7+ROWS($B$18:C64)-1,COLUMN(INDIRECT(E$9&amp;1)),,,E$6))-E$10)/(E$11-E$10)*(E$13-E$12))*IF(E$14&lt;&gt;"",E$14,1))</f>
        <v>#VALUE!</v>
      </c>
      <c r="F64" s="4" cm="1">
        <f t="array" aca="1" ref="F64" ca="1">IF(ROWS(D$18:D64)&gt;F$8-F$7+1,
   NA(),
   IF(OR(F$7="",F$8="",F$7=F$8),
      NA(),
      (INDIRECT(ADDRESS(F$7+ROWS($B$18:D64)-1,COLUMN(INDIRECT(F$9&amp;1)),,,F$6))-F$10)/(F$11-F$10)*(F$13-F$12))*IF(F$14&lt;&gt;"",F$14,1))</f>
        <v>51.853942871094993</v>
      </c>
      <c r="I64" s="3" cm="1">
        <f t="array" aca="1" ref="I64" ca="1">IF(ROWS(G$18:G64)&gt;I$8-I$7+1,
   NA(),
   IF(OR(I$7="",I$8="",I$7=I$8),
      NA(),
      (INDIRECT(ADDRESS(I$7+ROWS($B$18:G64)-1,COLUMN(INDIRECT(I$9&amp;1)),,,I$6))-I$10)/(I$11-I$10)*(I$13-I$12))*IF(I$14&lt;&gt;"",I$14,1))</f>
        <v>46295.969965277778</v>
      </c>
      <c r="J64" s="4" cm="1">
        <f t="array" aca="1" ref="J64" ca="1">IF(ROWS(H$18:H64)&gt;J$8-J$7+1,
   NA(),
   IF(OR(J$7="",J$8="",J$7=J$8),
      NA(),
      (INDIRECT(ADDRESS(J$7+ROWS($B$18:H64)-1,COLUMN(INDIRECT(J$9&amp;1)),,,J$6))-J$10)/(J$11-J$10)*(J$13-J$12))*IF(J$14&lt;&gt;"",J$14,1))</f>
        <v>1.3</v>
      </c>
      <c r="K64" s="4" cm="1">
        <f t="array" aca="1" ref="K64" ca="1">IF(ROWS(I$18:I64)&gt;K$8-K$7+1,
   NA(),
   IF(OR(K$7="",K$8="",K$7=K$8),
      NA(),
      (INDIRECT(ADDRESS(K$7+ROWS($B$18:I64)-1,COLUMN(INDIRECT(K$9&amp;1)),,,K$6))-K$10)/(K$11-K$10)*(K$13-K$12))*IF(K$14&lt;&gt;"",K$14,1))</f>
        <v>31.905258178710898</v>
      </c>
      <c r="L64" s="4" cm="1">
        <f t="array" aca="1" ref="L64" ca="1">IF(ROWS(J$18:J64)&gt;L$8-L$7+1,
   NA(),
   IF(OR(L$7="",L$8="",L$7=L$8),
      NA(),
      (INDIRECT(ADDRESS(L$7+ROWS($B$18:J64)-1,COLUMN(INDIRECT(L$9&amp;1)),,,L$6))-L$10)/(L$11-L$10)*(L$13-L$12))*IF(L$14&lt;&gt;"",L$14,1))</f>
        <v>-437.06821289062498</v>
      </c>
    </row>
    <row r="65" spans="3:12" x14ac:dyDescent="0.2">
      <c r="C65" s="3" cm="1">
        <f t="array" aca="1" ref="C65" ca="1">IF(ROWS(A$18:A65)&gt;C$8-C$7+1,
   NA(),
   IF(OR(C$7="",C$8="",C$7=C$8),
      NA(),
      (INDIRECT(ADDRESS(C$7+ROWS(A$18:$B65)-1,COLUMN(INDIRECT(C$9&amp;1)),,,C$6))-C$10)/(C$11-C$10)*(C$13-C$12))*IF(C$14&lt;&gt;"",C$14,1))</f>
        <v>46295.944907407407</v>
      </c>
      <c r="D65" s="4" cm="1">
        <f t="array" aca="1" ref="D65" ca="1">IF(ROWS(B$18:B65)&gt;D$8-D$7+1,
   NA(),
   IF(OR(D$7="",D$8="",D$7=D$8),
      NA(),
      (INDIRECT(ADDRESS(D$7+ROWS($B$18:B65)-1,COLUMN(INDIRECT(D$9&amp;1)),,,D$6))-D$10)/(D$11-D$10)*(D$13-D$12))*IF(D$14&lt;&gt;"",D$14,1))</f>
        <v>1</v>
      </c>
      <c r="E65" s="4" t="e" cm="1">
        <f t="array" aca="1" ref="E65" ca="1">IF(ROWS(C$18:C65)&gt;E$8-E$7+1,
   NA(),
   IF(OR(E$7="",E$8="",E$7=E$8),
      NA(),
      (INDIRECT(ADDRESS(E$7+ROWS($B$18:C65)-1,COLUMN(INDIRECT(E$9&amp;1)),,,E$6))-E$10)/(E$11-E$10)*(E$13-E$12))*IF(E$14&lt;&gt;"",E$14,1))</f>
        <v>#VALUE!</v>
      </c>
      <c r="F65" s="4" cm="1">
        <f t="array" aca="1" ref="F65" ca="1">IF(ROWS(D$18:D65)&gt;F$8-F$7+1,
   NA(),
   IF(OR(F$7="",F$8="",F$7=F$8),
      NA(),
      (INDIRECT(ADDRESS(F$7+ROWS($B$18:D65)-1,COLUMN(INDIRECT(F$9&amp;1)),,,F$6))-F$10)/(F$11-F$10)*(F$13-F$12))*IF(F$14&lt;&gt;"",F$14,1))</f>
        <v>30.796813964844016</v>
      </c>
      <c r="I65" s="3" cm="1">
        <f t="array" aca="1" ref="I65" ca="1">IF(ROWS(G$18:G65)&gt;I$8-I$7+1,
   NA(),
   IF(OR(I$7="",I$8="",I$7=I$8),
      NA(),
      (INDIRECT(ADDRESS(I$7+ROWS($B$18:G65)-1,COLUMN(INDIRECT(I$9&amp;1)),,,I$6))-I$10)/(I$11-I$10)*(I$13-I$12))*IF(I$14&lt;&gt;"",I$14,1))</f>
        <v>46295.97</v>
      </c>
      <c r="J65" s="4" cm="1">
        <f t="array" aca="1" ref="J65" ca="1">IF(ROWS(H$18:H65)&gt;J$8-J$7+1,
   NA(),
   IF(OR(J$7="",J$8="",J$7=J$8),
      NA(),
      (INDIRECT(ADDRESS(J$7+ROWS($B$18:H65)-1,COLUMN(INDIRECT(J$9&amp;1)),,,J$6))-J$10)/(J$11-J$10)*(J$13-J$12))*IF(J$14&lt;&gt;"",J$14,1))</f>
        <v>1.35</v>
      </c>
      <c r="K65" s="4" cm="1">
        <f t="array" aca="1" ref="K65" ca="1">IF(ROWS(I$18:I65)&gt;K$8-K$7+1,
   NA(),
   IF(OR(K$7="",K$8="",K$7=K$8),
      NA(),
      (INDIRECT(ADDRESS(K$7+ROWS($B$18:I65)-1,COLUMN(INDIRECT(K$9&amp;1)),,,K$6))-K$10)/(K$11-K$10)*(K$13-K$12))*IF(K$14&lt;&gt;"",K$14,1))</f>
        <v>27.268287658691399</v>
      </c>
      <c r="L65" s="4" cm="1">
        <f t="array" aca="1" ref="L65" ca="1">IF(ROWS(J$18:J65)&gt;L$8-L$7+1,
   NA(),
   IF(OR(L$7="",L$8="",L$7=L$8),
      NA(),
      (INDIRECT(ADDRESS(L$7+ROWS($B$18:J65)-1,COLUMN(INDIRECT(L$9&amp;1)),,,L$6))-L$10)/(L$11-L$10)*(L$13-L$12))*IF(L$14&lt;&gt;"",L$14,1))</f>
        <v>-437.13474121093799</v>
      </c>
    </row>
    <row r="66" spans="3:12" x14ac:dyDescent="0.2">
      <c r="C66" s="3" cm="1">
        <f t="array" aca="1" ref="C66" ca="1">IF(ROWS(A$18:A66)&gt;C$8-C$7+1,
   NA(),
   IF(OR(C$7="",C$8="",C$7=C$8),
      NA(),
      (INDIRECT(ADDRESS(C$7+ROWS(A$18:$B66)-1,COLUMN(INDIRECT(C$9&amp;1)),,,C$6))-C$10)/(C$11-C$10)*(C$13-C$12))*IF(C$14&lt;&gt;"",C$14,1))</f>
        <v>46295.94494212963</v>
      </c>
      <c r="D66" s="4" cm="1">
        <f t="array" aca="1" ref="D66" ca="1">IF(ROWS(B$18:B66)&gt;D$8-D$7+1,
   NA(),
   IF(OR(D$7="",D$8="",D$7=D$8),
      NA(),
      (INDIRECT(ADDRESS(D$7+ROWS($B$18:B66)-1,COLUMN(INDIRECT(D$9&amp;1)),,,D$6))-D$10)/(D$11-D$10)*(D$13-D$12))*IF(D$14&lt;&gt;"",D$14,1))</f>
        <v>0.9</v>
      </c>
      <c r="E66" s="4" t="e" cm="1">
        <f t="array" aca="1" ref="E66" ca="1">IF(ROWS(C$18:C66)&gt;E$8-E$7+1,
   NA(),
   IF(OR(E$7="",E$8="",E$7=E$8),
      NA(),
      (INDIRECT(ADDRESS(E$7+ROWS($B$18:C66)-1,COLUMN(INDIRECT(E$9&amp;1)),,,E$6))-E$10)/(E$11-E$10)*(E$13-E$12))*IF(E$14&lt;&gt;"",E$14,1))</f>
        <v>#VALUE!</v>
      </c>
      <c r="F66" s="4" cm="1">
        <f t="array" aca="1" ref="F66" ca="1">IF(ROWS(D$18:D66)&gt;F$8-F$7+1,
   NA(),
   IF(OR(F$7="",F$8="",F$7=F$8),
      NA(),
      (INDIRECT(ADDRESS(F$7+ROWS($B$18:D66)-1,COLUMN(INDIRECT(F$9&amp;1)),,,F$6))-F$10)/(F$11-F$10)*(F$13-F$12))*IF(F$14&lt;&gt;"",F$14,1))</f>
        <v>21.580505371094016</v>
      </c>
      <c r="I66" s="3" cm="1">
        <f t="array" aca="1" ref="I66" ca="1">IF(ROWS(G$18:G66)&gt;I$8-I$7+1,
   NA(),
   IF(OR(I$7="",I$8="",I$7=I$8),
      NA(),
      (INDIRECT(ADDRESS(I$7+ROWS($B$18:G66)-1,COLUMN(INDIRECT(I$9&amp;1)),,,I$6))-I$10)/(I$11-I$10)*(I$13-I$12))*IF(I$14&lt;&gt;"",I$14,1))</f>
        <v>46295.970034722224</v>
      </c>
      <c r="J66" s="4" cm="1">
        <f t="array" aca="1" ref="J66" ca="1">IF(ROWS(H$18:H66)&gt;J$8-J$7+1,
   NA(),
   IF(OR(J$7="",J$8="",J$7=J$8),
      NA(),
      (INDIRECT(ADDRESS(J$7+ROWS($B$18:H66)-1,COLUMN(INDIRECT(J$9&amp;1)),,,J$6))-J$10)/(J$11-J$10)*(J$13-J$12))*IF(J$14&lt;&gt;"",J$14,1))</f>
        <v>1.4</v>
      </c>
      <c r="K66" s="4" cm="1">
        <f t="array" aca="1" ref="K66" ca="1">IF(ROWS(I$18:I66)&gt;K$8-K$7+1,
   NA(),
   IF(OR(K$7="",K$8="",K$7=K$8),
      NA(),
      (INDIRECT(ADDRESS(K$7+ROWS($B$18:I66)-1,COLUMN(INDIRECT(K$9&amp;1)),,,K$6))-K$10)/(K$11-K$10)*(K$13-K$12))*IF(K$14&lt;&gt;"",K$14,1))</f>
        <v>22.3851623535156</v>
      </c>
      <c r="L66" s="4" cm="1">
        <f t="array" aca="1" ref="L66" ca="1">IF(ROWS(J$18:J66)&gt;L$8-L$7+1,
   NA(),
   IF(OR(L$7="",L$8="",L$7=L$8),
      NA(),
      (INDIRECT(ADDRESS(L$7+ROWS($B$18:J66)-1,COLUMN(INDIRECT(L$9&amp;1)),,,L$6))-L$10)/(L$11-L$10)*(L$13-L$12))*IF(L$14&lt;&gt;"",L$14,1))</f>
        <v>-437.189215087891</v>
      </c>
    </row>
    <row r="67" spans="3:12" x14ac:dyDescent="0.2">
      <c r="C67" s="3" cm="1">
        <f t="array" aca="1" ref="C67" ca="1">IF(ROWS(A$18:A67)&gt;C$8-C$7+1,
   NA(),
   IF(OR(C$7="",C$8="",C$7=C$8),
      NA(),
      (INDIRECT(ADDRESS(C$7+ROWS(A$18:$B67)-1,COLUMN(INDIRECT(C$9&amp;1)),,,C$6))-C$10)/(C$11-C$10)*(C$13-C$12))*IF(C$14&lt;&gt;"",C$14,1))</f>
        <v>46295.944976851853</v>
      </c>
      <c r="D67" s="4" cm="1">
        <f t="array" aca="1" ref="D67" ca="1">IF(ROWS(B$18:B67)&gt;D$8-D$7+1,
   NA(),
   IF(OR(D$7="",D$8="",D$7=D$8),
      NA(),
      (INDIRECT(ADDRESS(D$7+ROWS($B$18:B67)-1,COLUMN(INDIRECT(D$9&amp;1)),,,D$6))-D$10)/(D$11-D$10)*(D$13-D$12))*IF(D$14&lt;&gt;"",D$14,1))</f>
        <v>0.8</v>
      </c>
      <c r="E67" s="4" t="e" cm="1">
        <f t="array" aca="1" ref="E67" ca="1">IF(ROWS(C$18:C67)&gt;E$8-E$7+1,
   NA(),
   IF(OR(E$7="",E$8="",E$7=E$8),
      NA(),
      (INDIRECT(ADDRESS(E$7+ROWS($B$18:C67)-1,COLUMN(INDIRECT(E$9&amp;1)),,,E$6))-E$10)/(E$11-E$10)*(E$13-E$12))*IF(E$14&lt;&gt;"",E$14,1))</f>
        <v>#VALUE!</v>
      </c>
      <c r="F67" s="4" cm="1">
        <f t="array" aca="1" ref="F67" ca="1">IF(ROWS(D$18:D67)&gt;F$8-F$7+1,
   NA(),
   IF(OR(F$7="",F$8="",F$7=F$8),
      NA(),
      (INDIRECT(ADDRESS(F$7+ROWS($B$18:D67)-1,COLUMN(INDIRECT(F$9&amp;1)),,,F$6))-F$10)/(F$11-F$10)*(F$13-F$12))*IF(F$14&lt;&gt;"",F$14,1))</f>
        <v>15.1031494140625</v>
      </c>
      <c r="I67" s="3" cm="1">
        <f t="array" aca="1" ref="I67" ca="1">IF(ROWS(G$18:G67)&gt;I$8-I$7+1,
   NA(),
   IF(OR(I$7="",I$8="",I$7=I$8),
      NA(),
      (INDIRECT(ADDRESS(I$7+ROWS($B$18:G67)-1,COLUMN(INDIRECT(I$9&amp;1)),,,I$6))-I$10)/(I$11-I$10)*(I$13-I$12))*IF(I$14&lt;&gt;"",I$14,1))</f>
        <v>46295.970069444447</v>
      </c>
      <c r="J67" s="4" cm="1">
        <f t="array" aca="1" ref="J67" ca="1">IF(ROWS(H$18:H67)&gt;J$8-J$7+1,
   NA(),
   IF(OR(J$7="",J$8="",J$7=J$8),
      NA(),
      (INDIRECT(ADDRESS(J$7+ROWS($B$18:H67)-1,COLUMN(INDIRECT(J$9&amp;1)),,,J$6))-J$10)/(J$11-J$10)*(J$13-J$12))*IF(J$14&lt;&gt;"",J$14,1))</f>
        <v>1.45</v>
      </c>
      <c r="K67" s="4" cm="1">
        <f t="array" aca="1" ref="K67" ca="1">IF(ROWS(I$18:I67)&gt;K$8-K$7+1,
   NA(),
   IF(OR(K$7="",K$8="",K$7=K$8),
      NA(),
      (INDIRECT(ADDRESS(K$7+ROWS($B$18:I67)-1,COLUMN(INDIRECT(K$9&amp;1)),,,K$6))-K$10)/(K$11-K$10)*(K$13-K$12))*IF(K$14&lt;&gt;"",K$14,1))</f>
        <v>17.477350234985401</v>
      </c>
      <c r="L67" s="4" cm="1">
        <f t="array" aca="1" ref="L67" ca="1">IF(ROWS(J$18:J67)&gt;L$8-L$7+1,
   NA(),
   IF(OR(L$7="",L$8="",L$7=L$8),
      NA(),
      (INDIRECT(ADDRESS(L$7+ROWS($B$18:J67)-1,COLUMN(INDIRECT(L$9&amp;1)),,,L$6))-L$10)/(L$11-L$10)*(L$13-L$12))*IF(L$14&lt;&gt;"",L$14,1))</f>
        <v>-437.319830322266</v>
      </c>
    </row>
    <row r="68" spans="3:12" x14ac:dyDescent="0.2">
      <c r="C68" s="3" cm="1">
        <f t="array" aca="1" ref="C68" ca="1">IF(ROWS(A$18:A68)&gt;C$8-C$7+1,
   NA(),
   IF(OR(C$7="",C$8="",C$7=C$8),
      NA(),
      (INDIRECT(ADDRESS(C$7+ROWS(A$18:$B68)-1,COLUMN(INDIRECT(C$9&amp;1)),,,C$6))-C$10)/(C$11-C$10)*(C$13-C$12))*IF(C$14&lt;&gt;"",C$14,1))</f>
        <v>46295.945011574076</v>
      </c>
      <c r="D68" s="4" cm="1">
        <f t="array" aca="1" ref="D68" ca="1">IF(ROWS(B$18:B68)&gt;D$8-D$7+1,
   NA(),
   IF(OR(D$7="",D$8="",D$7=D$8),
      NA(),
      (INDIRECT(ADDRESS(D$7+ROWS($B$18:B68)-1,COLUMN(INDIRECT(D$9&amp;1)),,,D$6))-D$10)/(D$11-D$10)*(D$13-D$12))*IF(D$14&lt;&gt;"",D$14,1))</f>
        <v>0.7</v>
      </c>
      <c r="E68" s="4" t="e" cm="1">
        <f t="array" aca="1" ref="E68" ca="1">IF(ROWS(C$18:C68)&gt;E$8-E$7+1,
   NA(),
   IF(OR(E$7="",E$8="",E$7=E$8),
      NA(),
      (INDIRECT(ADDRESS(E$7+ROWS($B$18:C68)-1,COLUMN(INDIRECT(E$9&amp;1)),,,E$6))-E$10)/(E$11-E$10)*(E$13-E$12))*IF(E$14&lt;&gt;"",E$14,1))</f>
        <v>#VALUE!</v>
      </c>
      <c r="F68" s="4" cm="1">
        <f t="array" aca="1" ref="F68" ca="1">IF(ROWS(D$18:D68)&gt;F$8-F$7+1,
   NA(),
   IF(OR(F$7="",F$8="",F$7=F$8),
      NA(),
      (INDIRECT(ADDRESS(F$7+ROWS($B$18:D68)-1,COLUMN(INDIRECT(F$9&amp;1)),,,F$6))-F$10)/(F$11-F$10)*(F$13-F$12))*IF(F$14&lt;&gt;"",F$14,1))</f>
        <v>16.926574707031516</v>
      </c>
      <c r="I68" s="3" cm="1">
        <f t="array" aca="1" ref="I68" ca="1">IF(ROWS(G$18:G68)&gt;I$8-I$7+1,
   NA(),
   IF(OR(I$7="",I$8="",I$7=I$8),
      NA(),
      (INDIRECT(ADDRESS(I$7+ROWS($B$18:G68)-1,COLUMN(INDIRECT(I$9&amp;1)),,,I$6))-I$10)/(I$11-I$10)*(I$13-I$12))*IF(I$14&lt;&gt;"",I$14,1))</f>
        <v>46295.970104166663</v>
      </c>
      <c r="J68" s="4" cm="1">
        <f t="array" aca="1" ref="J68" ca="1">IF(ROWS(H$18:H68)&gt;J$8-J$7+1,
   NA(),
   IF(OR(J$7="",J$8="",J$7=J$8),
      NA(),
      (INDIRECT(ADDRESS(J$7+ROWS($B$18:H68)-1,COLUMN(INDIRECT(J$9&amp;1)),,,J$6))-J$10)/(J$11-J$10)*(J$13-J$12))*IF(J$14&lt;&gt;"",J$14,1))</f>
        <v>1.5</v>
      </c>
      <c r="K68" s="4" cm="1">
        <f t="array" aca="1" ref="K68" ca="1">IF(ROWS(I$18:I68)&gt;K$8-K$7+1,
   NA(),
   IF(OR(K$7="",K$8="",K$7=K$8),
      NA(),
      (INDIRECT(ADDRESS(K$7+ROWS($B$18:I68)-1,COLUMN(INDIRECT(K$9&amp;1)),,,K$6))-K$10)/(K$11-K$10)*(K$13-K$12))*IF(K$14&lt;&gt;"",K$14,1))</f>
        <v>11.934912681579601</v>
      </c>
      <c r="L68" s="4" cm="1">
        <f t="array" aca="1" ref="L68" ca="1">IF(ROWS(J$18:J68)&gt;L$8-L$7+1,
   NA(),
   IF(OR(L$7="",L$8="",L$7=L$8),
      NA(),
      (INDIRECT(ADDRESS(L$7+ROWS($B$18:J68)-1,COLUMN(INDIRECT(L$9&amp;1)),,,L$6))-L$10)/(L$11-L$10)*(L$13-L$12))*IF(L$14&lt;&gt;"",L$14,1))</f>
        <v>-437.43167724609395</v>
      </c>
    </row>
    <row r="69" spans="3:12" x14ac:dyDescent="0.2">
      <c r="C69" s="3" cm="1">
        <f t="array" aca="1" ref="C69" ca="1">IF(ROWS(A$18:A69)&gt;C$8-C$7+1,
   NA(),
   IF(OR(C$7="",C$8="",C$7=C$8),
      NA(),
      (INDIRECT(ADDRESS(C$7+ROWS(A$18:$B69)-1,COLUMN(INDIRECT(C$9&amp;1)),,,C$6))-C$10)/(C$11-C$10)*(C$13-C$12))*IF(C$14&lt;&gt;"",C$14,1))</f>
        <v>46295.9450462963</v>
      </c>
      <c r="D69" s="4" cm="1">
        <f t="array" aca="1" ref="D69" ca="1">IF(ROWS(B$18:B69)&gt;D$8-D$7+1,
   NA(),
   IF(OR(D$7="",D$8="",D$7=D$8),
      NA(),
      (INDIRECT(ADDRESS(D$7+ROWS($B$18:B69)-1,COLUMN(INDIRECT(D$9&amp;1)),,,D$6))-D$10)/(D$11-D$10)*(D$13-D$12))*IF(D$14&lt;&gt;"",D$14,1))</f>
        <v>0.6</v>
      </c>
      <c r="E69" s="4" t="e" cm="1">
        <f t="array" aca="1" ref="E69" ca="1">IF(ROWS(C$18:C69)&gt;E$8-E$7+1,
   NA(),
   IF(OR(E$7="",E$8="",E$7=E$8),
      NA(),
      (INDIRECT(ADDRESS(E$7+ROWS($B$18:C69)-1,COLUMN(INDIRECT(E$9&amp;1)),,,E$6))-E$10)/(E$11-E$10)*(E$13-E$12))*IF(E$14&lt;&gt;"",E$14,1))</f>
        <v>#VALUE!</v>
      </c>
      <c r="F69" s="4" cm="1">
        <f t="array" aca="1" ref="F69" ca="1">IF(ROWS(D$18:D69)&gt;F$8-F$7+1,
   NA(),
   IF(OR(F$7="",F$8="",F$7=F$8),
      NA(),
      (INDIRECT(ADDRESS(F$7+ROWS($B$18:D69)-1,COLUMN(INDIRECT(F$9&amp;1)),,,F$6))-F$10)/(F$11-F$10)*(F$13-F$12))*IF(F$14&lt;&gt;"",F$14,1))</f>
        <v>12.5091552734375</v>
      </c>
      <c r="I69" s="3" cm="1">
        <f t="array" aca="1" ref="I69" ca="1">IF(ROWS(G$18:G69)&gt;I$8-I$7+1,
   NA(),
   IF(OR(I$7="",I$8="",I$7=I$8),
      NA(),
      (INDIRECT(ADDRESS(I$7+ROWS($B$18:G69)-1,COLUMN(INDIRECT(I$9&amp;1)),,,I$6))-I$10)/(I$11-I$10)*(I$13-I$12))*IF(I$14&lt;&gt;"",I$14,1))</f>
        <v>46295.970138888886</v>
      </c>
      <c r="J69" s="4" cm="1">
        <f t="array" aca="1" ref="J69" ca="1">IF(ROWS(H$18:H69)&gt;J$8-J$7+1,
   NA(),
   IF(OR(J$7="",J$8="",J$7=J$8),
      NA(),
      (INDIRECT(ADDRESS(J$7+ROWS($B$18:H69)-1,COLUMN(INDIRECT(J$9&amp;1)),,,J$6))-J$10)/(J$11-J$10)*(J$13-J$12))*IF(J$14&lt;&gt;"",J$14,1))</f>
        <v>1.55</v>
      </c>
      <c r="K69" s="4" cm="1">
        <f t="array" aca="1" ref="K69" ca="1">IF(ROWS(I$18:I69)&gt;K$8-K$7+1,
   NA(),
   IF(OR(K$7="",K$8="",K$7=K$8),
      NA(),
      (INDIRECT(ADDRESS(K$7+ROWS($B$18:I69)-1,COLUMN(INDIRECT(K$9&amp;1)),,,K$6))-K$10)/(K$11-K$10)*(K$13-K$12))*IF(K$14&lt;&gt;"",K$14,1))</f>
        <v>8.2157506942749006</v>
      </c>
      <c r="L69" s="4" cm="1">
        <f t="array" aca="1" ref="L69" ca="1">IF(ROWS(J$18:J69)&gt;L$8-L$7+1,
   NA(),
   IF(OR(L$7="",L$8="",L$7=L$8),
      NA(),
      (INDIRECT(ADDRESS(L$7+ROWS($B$18:J69)-1,COLUMN(INDIRECT(L$9&amp;1)),,,L$6))-L$10)/(L$11-L$10)*(L$13-L$12))*IF(L$14&lt;&gt;"",L$14,1))</f>
        <v>-437.43442382812498</v>
      </c>
    </row>
    <row r="70" spans="3:12" x14ac:dyDescent="0.2">
      <c r="C70" s="3" cm="1">
        <f t="array" aca="1" ref="C70" ca="1">IF(ROWS(A$18:A70)&gt;C$8-C$7+1,
   NA(),
   IF(OR(C$7="",C$8="",C$7=C$8),
      NA(),
      (INDIRECT(ADDRESS(C$7+ROWS(A$18:$B70)-1,COLUMN(INDIRECT(C$9&amp;1)),,,C$6))-C$10)/(C$11-C$10)*(C$13-C$12))*IF(C$14&lt;&gt;"",C$14,1))</f>
        <v>46295.945081018515</v>
      </c>
      <c r="D70" s="4" cm="1">
        <f t="array" aca="1" ref="D70" ca="1">IF(ROWS(B$18:B70)&gt;D$8-D$7+1,
   NA(),
   IF(OR(D$7="",D$8="",D$7=D$8),
      NA(),
      (INDIRECT(ADDRESS(D$7+ROWS($B$18:B70)-1,COLUMN(INDIRECT(D$9&amp;1)),,,D$6))-D$10)/(D$11-D$10)*(D$13-D$12))*IF(D$14&lt;&gt;"",D$14,1))</f>
        <v>0.5</v>
      </c>
      <c r="E70" s="4" t="e" cm="1">
        <f t="array" aca="1" ref="E70" ca="1">IF(ROWS(C$18:C70)&gt;E$8-E$7+1,
   NA(),
   IF(OR(E$7="",E$8="",E$7=E$8),
      NA(),
      (INDIRECT(ADDRESS(E$7+ROWS($B$18:C70)-1,COLUMN(INDIRECT(E$9&amp;1)),,,E$6))-E$10)/(E$11-E$10)*(E$13-E$12))*IF(E$14&lt;&gt;"",E$14,1))</f>
        <v>#VALUE!</v>
      </c>
      <c r="F70" s="4" cm="1">
        <f t="array" aca="1" ref="F70" ca="1">IF(ROWS(D$18:D70)&gt;F$8-F$7+1,
   NA(),
   IF(OR(F$7="",F$8="",F$7=F$8),
      NA(),
      (INDIRECT(ADDRESS(F$7+ROWS($B$18:D70)-1,COLUMN(INDIRECT(F$9&amp;1)),,,F$6))-F$10)/(F$11-F$10)*(F$13-F$12))*IF(F$14&lt;&gt;"",F$14,1))</f>
        <v>7.9849243164065165</v>
      </c>
      <c r="I70" s="3" cm="1">
        <f t="array" aca="1" ref="I70" ca="1">IF(ROWS(G$18:G70)&gt;I$8-I$7+1,
   NA(),
   IF(OR(I$7="",I$8="",I$7=I$8),
      NA(),
      (INDIRECT(ADDRESS(I$7+ROWS($B$18:G70)-1,COLUMN(INDIRECT(I$9&amp;1)),,,I$6))-I$10)/(I$11-I$10)*(I$13-I$12))*IF(I$14&lt;&gt;"",I$14,1))</f>
        <v>46295.970173611109</v>
      </c>
      <c r="J70" s="4" cm="1">
        <f t="array" aca="1" ref="J70" ca="1">IF(ROWS(H$18:H70)&gt;J$8-J$7+1,
   NA(),
   IF(OR(J$7="",J$8="",J$7=J$8),
      NA(),
      (INDIRECT(ADDRESS(J$7+ROWS($B$18:H70)-1,COLUMN(INDIRECT(J$9&amp;1)),,,J$6))-J$10)/(J$11-J$10)*(J$13-J$12))*IF(J$14&lt;&gt;"",J$14,1))</f>
        <v>1.6</v>
      </c>
      <c r="K70" s="4" cm="1">
        <f t="array" aca="1" ref="K70" ca="1">IF(ROWS(I$18:I70)&gt;K$8-K$7+1,
   NA(),
   IF(OR(K$7="",K$8="",K$7=K$8),
      NA(),
      (INDIRECT(ADDRESS(K$7+ROWS($B$18:I70)-1,COLUMN(INDIRECT(K$9&amp;1)),,,K$6))-K$10)/(K$11-K$10)*(K$13-K$12))*IF(K$14&lt;&gt;"",K$14,1))</f>
        <v>4.9649333953857404</v>
      </c>
      <c r="L70" s="4" cm="1">
        <f t="array" aca="1" ref="L70" ca="1">IF(ROWS(J$18:J70)&gt;L$8-L$7+1,
   NA(),
   IF(OR(L$7="",L$8="",L$7=L$8),
      NA(),
      (INDIRECT(ADDRESS(L$7+ROWS($B$18:J70)-1,COLUMN(INDIRECT(L$9&amp;1)),,,L$6))-L$10)/(L$11-L$10)*(L$13-L$12))*IF(L$14&lt;&gt;"",L$14,1))</f>
        <v>-437.38803710937498</v>
      </c>
    </row>
    <row r="71" spans="3:12" x14ac:dyDescent="0.2">
      <c r="C71" s="3" cm="1">
        <f t="array" aca="1" ref="C71" ca="1">IF(ROWS(A$18:A71)&gt;C$8-C$7+1,
   NA(),
   IF(OR(C$7="",C$8="",C$7=C$8),
      NA(),
      (INDIRECT(ADDRESS(C$7+ROWS(A$18:$B71)-1,COLUMN(INDIRECT(C$9&amp;1)),,,C$6))-C$10)/(C$11-C$10)*(C$13-C$12))*IF(C$14&lt;&gt;"",C$14,1))</f>
        <v>46295.945115740738</v>
      </c>
      <c r="D71" s="4" cm="1">
        <f t="array" aca="1" ref="D71" ca="1">IF(ROWS(B$18:B71)&gt;D$8-D$7+1,
   NA(),
   IF(OR(D$7="",D$8="",D$7=D$8),
      NA(),
      (INDIRECT(ADDRESS(D$7+ROWS($B$18:B71)-1,COLUMN(INDIRECT(D$9&amp;1)),,,D$6))-D$10)/(D$11-D$10)*(D$13-D$12))*IF(D$14&lt;&gt;"",D$14,1))</f>
        <v>0.4</v>
      </c>
      <c r="E71" s="4" t="e" cm="1">
        <f t="array" aca="1" ref="E71" ca="1">IF(ROWS(C$18:C71)&gt;E$8-E$7+1,
   NA(),
   IF(OR(E$7="",E$8="",E$7=E$8),
      NA(),
      (INDIRECT(ADDRESS(E$7+ROWS($B$18:C71)-1,COLUMN(INDIRECT(E$9&amp;1)),,,E$6))-E$10)/(E$11-E$10)*(E$13-E$12))*IF(E$14&lt;&gt;"",E$14,1))</f>
        <v>#VALUE!</v>
      </c>
      <c r="F71" s="4" cm="1">
        <f t="array" aca="1" ref="F71" ca="1">IF(ROWS(D$18:D71)&gt;F$8-F$7+1,
   NA(),
   IF(OR(F$7="",F$8="",F$7=F$8),
      NA(),
      (INDIRECT(ADDRESS(F$7+ROWS($B$18:D71)-1,COLUMN(INDIRECT(F$9&amp;1)),,,F$6))-F$10)/(F$11-F$10)*(F$13-F$12))*IF(F$14&lt;&gt;"",F$14,1))</f>
        <v>5.474853515625</v>
      </c>
      <c r="I71" s="3" cm="1">
        <f t="array" aca="1" ref="I71" ca="1">IF(ROWS(G$18:G71)&gt;I$8-I$7+1,
   NA(),
   IF(OR(I$7="",I$8="",I$7=I$8),
      NA(),
      (INDIRECT(ADDRESS(I$7+ROWS($B$18:G71)-1,COLUMN(INDIRECT(I$9&amp;1)),,,I$6))-I$10)/(I$11-I$10)*(I$13-I$12))*IF(I$14&lt;&gt;"",I$14,1))</f>
        <v>46295.970208333332</v>
      </c>
      <c r="J71" s="4" cm="1">
        <f t="array" aca="1" ref="J71" ca="1">IF(ROWS(H$18:H71)&gt;J$8-J$7+1,
   NA(),
   IF(OR(J$7="",J$8="",J$7=J$8),
      NA(),
      (INDIRECT(ADDRESS(J$7+ROWS($B$18:H71)-1,COLUMN(INDIRECT(J$9&amp;1)),,,J$6))-J$10)/(J$11-J$10)*(J$13-J$12))*IF(J$14&lt;&gt;"",J$14,1))</f>
        <v>1.65</v>
      </c>
      <c r="K71" s="4" cm="1">
        <f t="array" aca="1" ref="K71" ca="1">IF(ROWS(I$18:I71)&gt;K$8-K$7+1,
   NA(),
   IF(OR(K$7="",K$8="",K$7=K$8),
      NA(),
      (INDIRECT(ADDRESS(K$7+ROWS($B$18:I71)-1,COLUMN(INDIRECT(K$9&amp;1)),,,K$6))-K$10)/(K$11-K$10)*(K$13-K$12))*IF(K$14&lt;&gt;"",K$14,1))</f>
        <v>2.8105494976043701</v>
      </c>
      <c r="L71" s="4" cm="1">
        <f t="array" aca="1" ref="L71" ca="1">IF(ROWS(J$18:J71)&gt;L$8-L$7+1,
   NA(),
   IF(OR(L$7="",L$8="",L$7=L$8),
      NA(),
      (INDIRECT(ADDRESS(L$7+ROWS($B$18:J71)-1,COLUMN(INDIRECT(L$9&amp;1)),,,L$6))-L$10)/(L$11-L$10)*(L$13-L$12))*IF(L$14&lt;&gt;"",L$14,1))</f>
        <v>-437.33966674804697</v>
      </c>
    </row>
    <row r="72" spans="3:12" x14ac:dyDescent="0.2">
      <c r="C72" s="3" cm="1">
        <f t="array" aca="1" ref="C72" ca="1">IF(ROWS(A$18:A72)&gt;C$8-C$7+1,
   NA(),
   IF(OR(C$7="",C$8="",C$7=C$8),
      NA(),
      (INDIRECT(ADDRESS(C$7+ROWS(A$18:$B72)-1,COLUMN(INDIRECT(C$9&amp;1)),,,C$6))-C$10)/(C$11-C$10)*(C$13-C$12))*IF(C$14&lt;&gt;"",C$14,1))</f>
        <v>46295.945150462961</v>
      </c>
      <c r="D72" s="4" cm="1">
        <f t="array" aca="1" ref="D72" ca="1">IF(ROWS(B$18:B72)&gt;D$8-D$7+1,
   NA(),
   IF(OR(D$7="",D$8="",D$7=D$8),
      NA(),
      (INDIRECT(ADDRESS(D$7+ROWS($B$18:B72)-1,COLUMN(INDIRECT(D$9&amp;1)),,,D$6))-D$10)/(D$11-D$10)*(D$13-D$12))*IF(D$14&lt;&gt;"",D$14,1))</f>
        <v>0.3</v>
      </c>
      <c r="E72" s="4" t="e" cm="1">
        <f t="array" aca="1" ref="E72" ca="1">IF(ROWS(C$18:C72)&gt;E$8-E$7+1,
   NA(),
   IF(OR(E$7="",E$8="",E$7=E$8),
      NA(),
      (INDIRECT(ADDRESS(E$7+ROWS($B$18:C72)-1,COLUMN(INDIRECT(E$9&amp;1)),,,E$6))-E$10)/(E$11-E$10)*(E$13-E$12))*IF(E$14&lt;&gt;"",E$14,1))</f>
        <v>#VALUE!</v>
      </c>
      <c r="F72" s="4" cm="1">
        <f t="array" aca="1" ref="F72" ca="1">IF(ROWS(D$18:D72)&gt;F$8-F$7+1,
   NA(),
   IF(OR(F$7="",F$8="",F$7=F$8),
      NA(),
      (INDIRECT(ADDRESS(F$7+ROWS($B$18:D72)-1,COLUMN(INDIRECT(F$9&amp;1)),,,F$6))-F$10)/(F$11-F$10)*(F$13-F$12))*IF(F$14&lt;&gt;"",F$14,1))</f>
        <v>10.1898193359375</v>
      </c>
      <c r="I72" s="3" cm="1">
        <f t="array" aca="1" ref="I72" ca="1">IF(ROWS(G$18:G72)&gt;I$8-I$7+1,
   NA(),
   IF(OR(I$7="",I$8="",I$7=I$8),
      NA(),
      (INDIRECT(ADDRESS(I$7+ROWS($B$18:G72)-1,COLUMN(INDIRECT(I$9&amp;1)),,,I$6))-I$10)/(I$11-I$10)*(I$13-I$12))*IF(I$14&lt;&gt;"",I$14,1))</f>
        <v>46295.970243055555</v>
      </c>
      <c r="J72" s="4" cm="1">
        <f t="array" aca="1" ref="J72" ca="1">IF(ROWS(H$18:H72)&gt;J$8-J$7+1,
   NA(),
   IF(OR(J$7="",J$8="",J$7=J$8),
      NA(),
      (INDIRECT(ADDRESS(J$7+ROWS($B$18:H72)-1,COLUMN(INDIRECT(J$9&amp;1)),,,J$6))-J$10)/(J$11-J$10)*(J$13-J$12))*IF(J$14&lt;&gt;"",J$14,1))</f>
        <v>1.7</v>
      </c>
      <c r="K72" s="4" cm="1">
        <f t="array" aca="1" ref="K72" ca="1">IF(ROWS(I$18:I72)&gt;K$8-K$7+1,
   NA(),
   IF(OR(K$7="",K$8="",K$7=K$8),
      NA(),
      (INDIRECT(ADDRESS(K$7+ROWS($B$18:I72)-1,COLUMN(INDIRECT(K$9&amp;1)),,,K$6))-K$10)/(K$11-K$10)*(K$13-K$12))*IF(K$14&lt;&gt;"",K$14,1))</f>
        <v>1.4236695766448999</v>
      </c>
      <c r="L72" s="4" cm="1">
        <f t="array" aca="1" ref="L72" ca="1">IF(ROWS(J$18:J72)&gt;L$8-L$7+1,
   NA(),
   IF(OR(L$7="",L$8="",L$7=L$8),
      NA(),
      (INDIRECT(ADDRESS(L$7+ROWS($B$18:J72)-1,COLUMN(INDIRECT(L$9&amp;1)),,,L$6))-L$10)/(L$11-L$10)*(L$13-L$12))*IF(L$14&lt;&gt;"",L$14,1))</f>
        <v>-437.38162841796895</v>
      </c>
    </row>
    <row r="73" spans="3:12" x14ac:dyDescent="0.2">
      <c r="C73" s="3" cm="1">
        <f t="array" aca="1" ref="C73" ca="1">IF(ROWS(A$18:A73)&gt;C$8-C$7+1,
   NA(),
   IF(OR(C$7="",C$8="",C$7=C$8),
      NA(),
      (INDIRECT(ADDRESS(C$7+ROWS(A$18:$B73)-1,COLUMN(INDIRECT(C$9&amp;1)),,,C$6))-C$10)/(C$11-C$10)*(C$13-C$12))*IF(C$14&lt;&gt;"",C$14,1))</f>
        <v>46295.945185185185</v>
      </c>
      <c r="D73" s="4" cm="1">
        <f t="array" aca="1" ref="D73" ca="1">IF(ROWS(B$18:B73)&gt;D$8-D$7+1,
   NA(),
   IF(OR(D$7="",D$8="",D$7=D$8),
      NA(),
      (INDIRECT(ADDRESS(D$7+ROWS($B$18:B73)-1,COLUMN(INDIRECT(D$9&amp;1)),,,D$6))-D$10)/(D$11-D$10)*(D$13-D$12))*IF(D$14&lt;&gt;"",D$14,1))</f>
        <v>0.2</v>
      </c>
      <c r="E73" s="4" t="e" cm="1">
        <f t="array" aca="1" ref="E73" ca="1">IF(ROWS(C$18:C73)&gt;E$8-E$7+1,
   NA(),
   IF(OR(E$7="",E$8="",E$7=E$8),
      NA(),
      (INDIRECT(ADDRESS(E$7+ROWS($B$18:C73)-1,COLUMN(INDIRECT(E$9&amp;1)),,,E$6))-E$10)/(E$11-E$10)*(E$13-E$12))*IF(E$14&lt;&gt;"",E$14,1))</f>
        <v>#VALUE!</v>
      </c>
      <c r="F73" s="4" cm="1">
        <f t="array" aca="1" ref="F73" ca="1">IF(ROWS(D$18:D73)&gt;F$8-F$7+1,
   NA(),
   IF(OR(F$7="",F$8="",F$7=F$8),
      NA(),
      (INDIRECT(ADDRESS(F$7+ROWS($B$18:D73)-1,COLUMN(INDIRECT(F$9&amp;1)),,,F$6))-F$10)/(F$11-F$10)*(F$13-F$12))*IF(F$14&lt;&gt;"",F$14,1))</f>
        <v>4.1244506835940165</v>
      </c>
      <c r="I73" s="3" cm="1">
        <f t="array" aca="1" ref="I73" ca="1">IF(ROWS(G$18:G73)&gt;I$8-I$7+1,
   NA(),
   IF(OR(I$7="",I$8="",I$7=I$8),
      NA(),
      (INDIRECT(ADDRESS(I$7+ROWS($B$18:G73)-1,COLUMN(INDIRECT(I$9&amp;1)),,,I$6))-I$10)/(I$11-I$10)*(I$13-I$12))*IF(I$14&lt;&gt;"",I$14,1))</f>
        <v>46295.970277777778</v>
      </c>
      <c r="J73" s="4" cm="1">
        <f t="array" aca="1" ref="J73" ca="1">IF(ROWS(H$18:H73)&gt;J$8-J$7+1,
   NA(),
   IF(OR(J$7="",J$8="",J$7=J$8),
      NA(),
      (INDIRECT(ADDRESS(J$7+ROWS($B$18:H73)-1,COLUMN(INDIRECT(J$9&amp;1)),,,J$6))-J$10)/(J$11-J$10)*(J$13-J$12))*IF(J$14&lt;&gt;"",J$14,1))</f>
        <v>1.75</v>
      </c>
      <c r="K73" s="4" cm="1">
        <f t="array" aca="1" ref="K73" ca="1">IF(ROWS(I$18:I73)&gt;K$8-K$7+1,
   NA(),
   IF(OR(K$7="",K$8="",K$7=K$8),
      NA(),
      (INDIRECT(ADDRESS(K$7+ROWS($B$18:I73)-1,COLUMN(INDIRECT(K$9&amp;1)),,,K$6))-K$10)/(K$11-K$10)*(K$13-K$12))*IF(K$14&lt;&gt;"",K$14,1))</f>
        <v>0.74838250875473</v>
      </c>
      <c r="L73" s="4" cm="1">
        <f t="array" aca="1" ref="L73" ca="1">IF(ROWS(J$18:J73)&gt;L$8-L$7+1,
   NA(),
   IF(OR(L$7="",L$8="",L$7=L$8),
      NA(),
      (INDIRECT(ADDRESS(L$7+ROWS($B$18:J73)-1,COLUMN(INDIRECT(L$9&amp;1)),,,L$6))-L$10)/(L$11-L$10)*(L$13-L$12))*IF(L$14&lt;&gt;"",L$14,1))</f>
        <v>-437.269934082031</v>
      </c>
    </row>
    <row r="74" spans="3:12" x14ac:dyDescent="0.2">
      <c r="C74" s="3" cm="1">
        <f t="array" aca="1" ref="C74" ca="1">IF(ROWS(A$18:A74)&gt;C$8-C$7+1,
   NA(),
   IF(OR(C$7="",C$8="",C$7=C$8),
      NA(),
      (INDIRECT(ADDRESS(C$7+ROWS(A$18:$B74)-1,COLUMN(INDIRECT(C$9&amp;1)),,,C$6))-C$10)/(C$11-C$10)*(C$13-C$12))*IF(C$14&lt;&gt;"",C$14,1))</f>
        <v>46295.945219907408</v>
      </c>
      <c r="D74" s="4" cm="1">
        <f t="array" aca="1" ref="D74" ca="1">IF(ROWS(B$18:B74)&gt;D$8-D$7+1,
   NA(),
   IF(OR(D$7="",D$8="",D$7=D$8),
      NA(),
      (INDIRECT(ADDRESS(D$7+ROWS($B$18:B74)-1,COLUMN(INDIRECT(D$9&amp;1)),,,D$6))-D$10)/(D$11-D$10)*(D$13-D$12))*IF(D$14&lt;&gt;"",D$14,1))</f>
        <v>0.1</v>
      </c>
      <c r="E74" s="4" t="e" cm="1">
        <f t="array" aca="1" ref="E74" ca="1">IF(ROWS(C$18:C74)&gt;E$8-E$7+1,
   NA(),
   IF(OR(E$7="",E$8="",E$7=E$8),
      NA(),
      (INDIRECT(ADDRESS(E$7+ROWS($B$18:C74)-1,COLUMN(INDIRECT(E$9&amp;1)),,,E$6))-E$10)/(E$11-E$10)*(E$13-E$12))*IF(E$14&lt;&gt;"",E$14,1))</f>
        <v>#VALUE!</v>
      </c>
      <c r="F74" s="4" cm="1">
        <f t="array" aca="1" ref="F74" ca="1">IF(ROWS(D$18:D74)&gt;F$8-F$7+1,
   NA(),
   IF(OR(F$7="",F$8="",F$7=F$8),
      NA(),
      (INDIRECT(ADDRESS(F$7+ROWS($B$18:D74)-1,COLUMN(INDIRECT(F$9&amp;1)),,,F$6))-F$10)/(F$11-F$10)*(F$13-F$12))*IF(F$14&lt;&gt;"",F$14,1))</f>
        <v>0.3631591796875</v>
      </c>
      <c r="I74" s="3" cm="1">
        <f t="array" aca="1" ref="I74" ca="1">IF(ROWS(G$18:G74)&gt;I$8-I$7+1,
   NA(),
   IF(OR(I$7="",I$8="",I$7=I$8),
      NA(),
      (INDIRECT(ADDRESS(I$7+ROWS($B$18:G74)-1,COLUMN(INDIRECT(I$9&amp;1)),,,I$6))-I$10)/(I$11-I$10)*(I$13-I$12))*IF(I$14&lt;&gt;"",I$14,1))</f>
        <v>46295.970312500001</v>
      </c>
      <c r="J74" s="4" cm="1">
        <f t="array" aca="1" ref="J74" ca="1">IF(ROWS(H$18:H74)&gt;J$8-J$7+1,
   NA(),
   IF(OR(J$7="",J$8="",J$7=J$8),
      NA(),
      (INDIRECT(ADDRESS(J$7+ROWS($B$18:H74)-1,COLUMN(INDIRECT(J$9&amp;1)),,,J$6))-J$10)/(J$11-J$10)*(J$13-J$12))*IF(J$14&lt;&gt;"",J$14,1))</f>
        <v>1.8</v>
      </c>
      <c r="K74" s="4" cm="1">
        <f t="array" aca="1" ref="K74" ca="1">IF(ROWS(I$18:I74)&gt;K$8-K$7+1,
   NA(),
   IF(OR(K$7="",K$8="",K$7=K$8),
      NA(),
      (INDIRECT(ADDRESS(K$7+ROWS($B$18:I74)-1,COLUMN(INDIRECT(K$9&amp;1)),,,K$6))-K$10)/(K$11-K$10)*(K$13-K$12))*IF(K$14&lt;&gt;"",K$14,1))</f>
        <v>0.34611469507217402</v>
      </c>
      <c r="L74" s="4" cm="1">
        <f t="array" aca="1" ref="L74" ca="1">IF(ROWS(J$18:J74)&gt;L$8-L$7+1,
   NA(),
   IF(OR(L$7="",L$8="",L$7=L$8),
      NA(),
      (INDIRECT(ADDRESS(L$7+ROWS($B$18:J74)-1,COLUMN(INDIRECT(L$9&amp;1)),,,L$6))-L$10)/(L$11-L$10)*(L$13-L$12))*IF(L$14&lt;&gt;"",L$14,1))</f>
        <v>-437.32761230468799</v>
      </c>
    </row>
    <row r="75" spans="3:12" x14ac:dyDescent="0.2">
      <c r="C75" s="3" cm="1">
        <f t="array" aca="1" ref="C75" ca="1">IF(ROWS(A$18:A75)&gt;C$8-C$7+1,
   NA(),
   IF(OR(C$7="",C$8="",C$7=C$8),
      NA(),
      (INDIRECT(ADDRESS(C$7+ROWS(A$18:$B75)-1,COLUMN(INDIRECT(C$9&amp;1)),,,C$6))-C$10)/(C$11-C$10)*(C$13-C$12))*IF(C$14&lt;&gt;"",C$14,1))</f>
        <v>46295.945254629631</v>
      </c>
      <c r="D75" s="4" cm="1">
        <f t="array" aca="1" ref="D75" ca="1">IF(ROWS(B$18:B75)&gt;D$8-D$7+1,
   NA(),
   IF(OR(D$7="",D$8="",D$7=D$8),
      NA(),
      (INDIRECT(ADDRESS(D$7+ROWS($B$18:B75)-1,COLUMN(INDIRECT(D$9&amp;1)),,,D$6))-D$10)/(D$11-D$10)*(D$13-D$12))*IF(D$14&lt;&gt;"",D$14,1))</f>
        <v>0</v>
      </c>
      <c r="E75" s="4" t="e" cm="1">
        <f t="array" aca="1" ref="E75" ca="1">IF(ROWS(C$18:C75)&gt;E$8-E$7+1,
   NA(),
   IF(OR(E$7="",E$8="",E$7=E$8),
      NA(),
      (INDIRECT(ADDRESS(E$7+ROWS($B$18:C75)-1,COLUMN(INDIRECT(E$9&amp;1)),,,E$6))-E$10)/(E$11-E$10)*(E$13-E$12))*IF(E$14&lt;&gt;"",E$14,1))</f>
        <v>#VALUE!</v>
      </c>
      <c r="F75" s="4" cm="1">
        <f t="array" aca="1" ref="F75" ca="1">IF(ROWS(D$18:D75)&gt;F$8-F$7+1,
   NA(),
   IF(OR(F$7="",F$8="",F$7=F$8),
      NA(),
      (INDIRECT(ADDRESS(F$7+ROWS($B$18:D75)-1,COLUMN(INDIRECT(F$9&amp;1)),,,F$6))-F$10)/(F$11-F$10)*(F$13-F$12))*IF(F$14&lt;&gt;"",F$14,1))</f>
        <v>1.629638671875</v>
      </c>
      <c r="I75" s="3" cm="1">
        <f t="array" aca="1" ref="I75" ca="1">IF(ROWS(G$18:G75)&gt;I$8-I$7+1,
   NA(),
   IF(OR(I$7="",I$8="",I$7=I$8),
      NA(),
      (INDIRECT(ADDRESS(I$7+ROWS($B$18:G75)-1,COLUMN(INDIRECT(I$9&amp;1)),,,I$6))-I$10)/(I$11-I$10)*(I$13-I$12))*IF(I$14&lt;&gt;"",I$14,1))</f>
        <v>46295.970347222225</v>
      </c>
      <c r="J75" s="4" cm="1">
        <f t="array" aca="1" ref="J75" ca="1">IF(ROWS(H$18:H75)&gt;J$8-J$7+1,
   NA(),
   IF(OR(J$7="",J$8="",J$7=J$8),
      NA(),
      (INDIRECT(ADDRESS(J$7+ROWS($B$18:H75)-1,COLUMN(INDIRECT(J$9&amp;1)),,,J$6))-J$10)/(J$11-J$10)*(J$13-J$12))*IF(J$14&lt;&gt;"",J$14,1))</f>
        <v>1.85</v>
      </c>
      <c r="K75" s="4" cm="1">
        <f t="array" aca="1" ref="K75" ca="1">IF(ROWS(I$18:I75)&gt;K$8-K$7+1,
   NA(),
   IF(OR(K$7="",K$8="",K$7=K$8),
      NA(),
      (INDIRECT(ADDRESS(K$7+ROWS($B$18:I75)-1,COLUMN(INDIRECT(K$9&amp;1)),,,K$6))-K$10)/(K$11-K$10)*(K$13-K$12))*IF(K$14&lt;&gt;"",K$14,1))</f>
        <v>0.15805087983608199</v>
      </c>
      <c r="L75" s="4" cm="1">
        <f t="array" aca="1" ref="L75" ca="1">IF(ROWS(J$18:J75)&gt;L$8-L$7+1,
   NA(),
   IF(OR(L$7="",L$8="",L$7=L$8),
      NA(),
      (INDIRECT(ADDRESS(L$7+ROWS($B$18:J75)-1,COLUMN(INDIRECT(L$9&amp;1)),,,L$6))-L$10)/(L$11-L$10)*(L$13-L$12))*IF(L$14&lt;&gt;"",L$14,1))</f>
        <v>-437.571295166016</v>
      </c>
    </row>
    <row r="76" spans="3:12" x14ac:dyDescent="0.2">
      <c r="C76" s="3" cm="1">
        <f t="array" aca="1" ref="C76" ca="1">IF(ROWS(A$18:A76)&gt;C$8-C$7+1,
   NA(),
   IF(OR(C$7="",C$8="",C$7=C$8),
      NA(),
      (INDIRECT(ADDRESS(C$7+ROWS(A$18:$B76)-1,COLUMN(INDIRECT(C$9&amp;1)),,,C$6))-C$10)/(C$11-C$10)*(C$13-C$12))*IF(C$14&lt;&gt;"",C$14,1))</f>
        <v>46295.945289351854</v>
      </c>
      <c r="D76" s="4" cm="1">
        <f t="array" aca="1" ref="D76" ca="1">IF(ROWS(B$18:B76)&gt;D$8-D$7+1,
   NA(),
   IF(OR(D$7="",D$8="",D$7=D$8),
      NA(),
      (INDIRECT(ADDRESS(D$7+ROWS($B$18:B76)-1,COLUMN(INDIRECT(D$9&amp;1)),,,D$6))-D$10)/(D$11-D$10)*(D$13-D$12))*IF(D$14&lt;&gt;"",D$14,1))</f>
        <v>-0.1</v>
      </c>
      <c r="E76" s="4" t="e" cm="1">
        <f t="array" aca="1" ref="E76" ca="1">IF(ROWS(C$18:C76)&gt;E$8-E$7+1,
   NA(),
   IF(OR(E$7="",E$8="",E$7=E$8),
      NA(),
      (INDIRECT(ADDRESS(E$7+ROWS($B$18:C76)-1,COLUMN(INDIRECT(E$9&amp;1)),,,E$6))-E$10)/(E$11-E$10)*(E$13-E$12))*IF(E$14&lt;&gt;"",E$14,1))</f>
        <v>#VALUE!</v>
      </c>
      <c r="F76" s="4" cm="1">
        <f t="array" aca="1" ref="F76" ca="1">IF(ROWS(D$18:D76)&gt;F$8-F$7+1,
   NA(),
   IF(OR(F$7="",F$8="",F$7=F$8),
      NA(),
      (INDIRECT(ADDRESS(F$7+ROWS($B$18:D76)-1,COLUMN(INDIRECT(F$9&amp;1)),,,F$6))-F$10)/(F$11-F$10)*(F$13-F$12))*IF(F$14&lt;&gt;"",F$14,1))</f>
        <v>3.5751342773440165</v>
      </c>
      <c r="I76" s="3" cm="1">
        <f t="array" aca="1" ref="I76" ca="1">IF(ROWS(G$18:G76)&gt;I$8-I$7+1,
   NA(),
   IF(OR(I$7="",I$8="",I$7=I$8),
      NA(),
      (INDIRECT(ADDRESS(I$7+ROWS($B$18:G76)-1,COLUMN(INDIRECT(I$9&amp;1)),,,I$6))-I$10)/(I$11-I$10)*(I$13-I$12))*IF(I$14&lt;&gt;"",I$14,1))</f>
        <v>46295.970381944448</v>
      </c>
      <c r="J76" s="4" cm="1">
        <f t="array" aca="1" ref="J76" ca="1">IF(ROWS(H$18:H76)&gt;J$8-J$7+1,
   NA(),
   IF(OR(J$7="",J$8="",J$7=J$8),
      NA(),
      (INDIRECT(ADDRESS(J$7+ROWS($B$18:H76)-1,COLUMN(INDIRECT(J$9&amp;1)),,,J$6))-J$10)/(J$11-J$10)*(J$13-J$12))*IF(J$14&lt;&gt;"",J$14,1))</f>
        <v>1.9</v>
      </c>
      <c r="K76" s="4" cm="1">
        <f t="array" aca="1" ref="K76" ca="1">IF(ROWS(I$18:I76)&gt;K$8-K$7+1,
   NA(),
   IF(OR(K$7="",K$8="",K$7=K$8),
      NA(),
      (INDIRECT(ADDRESS(K$7+ROWS($B$18:I76)-1,COLUMN(INDIRECT(K$9&amp;1)),,,K$6))-K$10)/(K$11-K$10)*(K$13-K$12))*IF(K$14&lt;&gt;"",K$14,1))</f>
        <v>4.3324682861566502E-2</v>
      </c>
      <c r="L76" s="4" cm="1">
        <f t="array" aca="1" ref="L76" ca="1">IF(ROWS(J$18:J76)&gt;L$8-L$7+1,
   NA(),
   IF(OR(L$7="",L$8="",L$7=L$8),
      NA(),
      (INDIRECT(ADDRESS(L$7+ROWS($B$18:J76)-1,COLUMN(INDIRECT(L$9&amp;1)),,,L$6))-L$10)/(L$11-L$10)*(L$13-L$12))*IF(L$14&lt;&gt;"",L$14,1))</f>
        <v>-437.39459838867197</v>
      </c>
    </row>
    <row r="77" spans="3:12" x14ac:dyDescent="0.2">
      <c r="C77" s="3" cm="1">
        <f t="array" aca="1" ref="C77" ca="1">IF(ROWS(A$18:A77)&gt;C$8-C$7+1,
   NA(),
   IF(OR(C$7="",C$8="",C$7=C$8),
      NA(),
      (INDIRECT(ADDRESS(C$7+ROWS(A$18:$B77)-1,COLUMN(INDIRECT(C$9&amp;1)),,,C$6))-C$10)/(C$11-C$10)*(C$13-C$12))*IF(C$14&lt;&gt;"",C$14,1))</f>
        <v>46295.945324074077</v>
      </c>
      <c r="D77" s="4" cm="1">
        <f t="array" aca="1" ref="D77" ca="1">IF(ROWS(B$18:B77)&gt;D$8-D$7+1,
   NA(),
   IF(OR(D$7="",D$8="",D$7=D$8),
      NA(),
      (INDIRECT(ADDRESS(D$7+ROWS($B$18:B77)-1,COLUMN(INDIRECT(D$9&amp;1)),,,D$6))-D$10)/(D$11-D$10)*(D$13-D$12))*IF(D$14&lt;&gt;"",D$14,1))</f>
        <v>-0.2</v>
      </c>
      <c r="E77" s="4" t="e" cm="1">
        <f t="array" aca="1" ref="E77" ca="1">IF(ROWS(C$18:C77)&gt;E$8-E$7+1,
   NA(),
   IF(OR(E$7="",E$8="",E$7=E$8),
      NA(),
      (INDIRECT(ADDRESS(E$7+ROWS($B$18:C77)-1,COLUMN(INDIRECT(E$9&amp;1)),,,E$6))-E$10)/(E$11-E$10)*(E$13-E$12))*IF(E$14&lt;&gt;"",E$14,1))</f>
        <v>#VALUE!</v>
      </c>
      <c r="F77" s="4" cm="1">
        <f t="array" aca="1" ref="F77" ca="1">IF(ROWS(D$18:D77)&gt;F$8-F$7+1,
   NA(),
   IF(OR(F$7="",F$8="",F$7=F$8),
      NA(),
      (INDIRECT(ADDRESS(F$7+ROWS($B$18:D77)-1,COLUMN(INDIRECT(F$9&amp;1)),,,F$6))-F$10)/(F$11-F$10)*(F$13-F$12))*IF(F$14&lt;&gt;"",F$14,1))</f>
        <v>-0.2471923828125</v>
      </c>
      <c r="I77" s="3" cm="1">
        <f t="array" aca="1" ref="I77" ca="1">IF(ROWS(G$18:G77)&gt;I$8-I$7+1,
   NA(),
   IF(OR(I$7="",I$8="",I$7=I$8),
      NA(),
      (INDIRECT(ADDRESS(I$7+ROWS($B$18:G77)-1,COLUMN(INDIRECT(I$9&amp;1)),,,I$6))-I$10)/(I$11-I$10)*(I$13-I$12))*IF(I$14&lt;&gt;"",I$14,1))</f>
        <v>46295.970416666663</v>
      </c>
      <c r="J77" s="4" cm="1">
        <f t="array" aca="1" ref="J77" ca="1">IF(ROWS(H$18:H77)&gt;J$8-J$7+1,
   NA(),
   IF(OR(J$7="",J$8="",J$7=J$8),
      NA(),
      (INDIRECT(ADDRESS(J$7+ROWS($B$18:H77)-1,COLUMN(INDIRECT(J$9&amp;1)),,,J$6))-J$10)/(J$11-J$10)*(J$13-J$12))*IF(J$14&lt;&gt;"",J$14,1))</f>
        <v>1.95</v>
      </c>
      <c r="K77" s="4" cm="1">
        <f t="array" aca="1" ref="K77" ca="1">IF(ROWS(I$18:I77)&gt;K$8-K$7+1,
   NA(),
   IF(OR(K$7="",K$8="",K$7=K$8),
      NA(),
      (INDIRECT(ADDRESS(K$7+ROWS($B$18:I77)-1,COLUMN(INDIRECT(K$9&amp;1)),,,K$6))-K$10)/(K$11-K$10)*(K$13-K$12))*IF(K$14&lt;&gt;"",K$14,1))</f>
        <v>1.21017303317785E-2</v>
      </c>
      <c r="L77" s="4" cm="1">
        <f t="array" aca="1" ref="L77" ca="1">IF(ROWS(J$18:J77)&gt;L$8-L$7+1,
   NA(),
   IF(OR(L$7="",L$8="",L$7=L$8),
      NA(),
      (INDIRECT(ADDRESS(L$7+ROWS($B$18:J77)-1,COLUMN(INDIRECT(L$9&amp;1)),,,L$6))-L$10)/(L$11-L$10)*(L$13-L$12))*IF(L$14&lt;&gt;"",L$14,1))</f>
        <v>-437.417639160156</v>
      </c>
    </row>
    <row r="78" spans="3:12" x14ac:dyDescent="0.2">
      <c r="C78" s="3" cm="1">
        <f t="array" aca="1" ref="C78" ca="1">IF(ROWS(A$18:A78)&gt;C$8-C$7+1,
   NA(),
   IF(OR(C$7="",C$8="",C$7=C$8),
      NA(),
      (INDIRECT(ADDRESS(C$7+ROWS(A$18:$B78)-1,COLUMN(INDIRECT(C$9&amp;1)),,,C$6))-C$10)/(C$11-C$10)*(C$13-C$12))*IF(C$14&lt;&gt;"",C$14,1))</f>
        <v>46295.9453587963</v>
      </c>
      <c r="D78" s="4" cm="1">
        <f t="array" aca="1" ref="D78" ca="1">IF(ROWS(B$18:B78)&gt;D$8-D$7+1,
   NA(),
   IF(OR(D$7="",D$8="",D$7=D$8),
      NA(),
      (INDIRECT(ADDRESS(D$7+ROWS($B$18:B78)-1,COLUMN(INDIRECT(D$9&amp;1)),,,D$6))-D$10)/(D$11-D$10)*(D$13-D$12))*IF(D$14&lt;&gt;"",D$14,1))</f>
        <v>-0.3</v>
      </c>
      <c r="E78" s="4" t="e" cm="1">
        <f t="array" aca="1" ref="E78" ca="1">IF(ROWS(C$18:C78)&gt;E$8-E$7+1,
   NA(),
   IF(OR(E$7="",E$8="",E$7=E$8),
      NA(),
      (INDIRECT(ADDRESS(E$7+ROWS($B$18:C78)-1,COLUMN(INDIRECT(E$9&amp;1)),,,E$6))-E$10)/(E$11-E$10)*(E$13-E$12))*IF(E$14&lt;&gt;"",E$14,1))</f>
        <v>#VALUE!</v>
      </c>
      <c r="F78" s="4" cm="1">
        <f t="array" aca="1" ref="F78" ca="1">IF(ROWS(D$18:D78)&gt;F$8-F$7+1,
   NA(),
   IF(OR(F$7="",F$8="",F$7=F$8),
      NA(),
      (INDIRECT(ADDRESS(F$7+ROWS($B$18:D78)-1,COLUMN(INDIRECT(F$9&amp;1)),,,F$6))-F$10)/(F$11-F$10)*(F$13-F$12))*IF(F$14&lt;&gt;"",F$14,1))</f>
        <v>-1.5060424804684835</v>
      </c>
      <c r="I78" s="3" cm="1">
        <f t="array" aca="1" ref="I78" ca="1">IF(ROWS(G$18:G78)&gt;I$8-I$7+1,
   NA(),
   IF(OR(I$7="",I$8="",I$7=I$8),
      NA(),
      (INDIRECT(ADDRESS(I$7+ROWS($B$18:G78)-1,COLUMN(INDIRECT(I$9&amp;1)),,,I$6))-I$10)/(I$11-I$10)*(I$13-I$12))*IF(I$14&lt;&gt;"",I$14,1))</f>
        <v>46295.970451388886</v>
      </c>
      <c r="J78" s="4" cm="1">
        <f t="array" aca="1" ref="J78" ca="1">IF(ROWS(H$18:H78)&gt;J$8-J$7+1,
   NA(),
   IF(OR(J$7="",J$8="",J$7=J$8),
      NA(),
      (INDIRECT(ADDRESS(J$7+ROWS($B$18:H78)-1,COLUMN(INDIRECT(J$9&amp;1)),,,J$6))-J$10)/(J$11-J$10)*(J$13-J$12))*IF(J$14&lt;&gt;"",J$14,1))</f>
        <v>2</v>
      </c>
      <c r="K78" s="4" cm="1">
        <f t="array" aca="1" ref="K78" ca="1">IF(ROWS(I$18:I78)&gt;K$8-K$7+1,
   NA(),
   IF(OR(K$7="",K$8="",K$7=K$8),
      NA(),
      (INDIRECT(ADDRESS(K$7+ROWS($B$18:I78)-1,COLUMN(INDIRECT(K$9&amp;1)),,,K$6))-K$10)/(K$11-K$10)*(K$13-K$12))*IF(K$14&lt;&gt;"",K$14,1))</f>
        <v>-6.4866475760936695E-2</v>
      </c>
      <c r="L78" s="4" cm="1">
        <f t="array" aca="1" ref="L78" ca="1">IF(ROWS(J$18:J78)&gt;L$8-L$7+1,
   NA(),
   IF(OR(L$7="",L$8="",L$7=L$8),
      NA(),
      (INDIRECT(ADDRESS(L$7+ROWS($B$18:J78)-1,COLUMN(INDIRECT(L$9&amp;1)),,,L$6))-L$10)/(L$11-L$10)*(L$13-L$12))*IF(L$14&lt;&gt;"",L$14,1))</f>
        <v>-437.10483398437498</v>
      </c>
    </row>
    <row r="79" spans="3:12" x14ac:dyDescent="0.2">
      <c r="C79" s="3" cm="1">
        <f t="array" aca="1" ref="C79" ca="1">IF(ROWS(A$18:A79)&gt;C$8-C$7+1,
   NA(),
   IF(OR(C$7="",C$8="",C$7=C$8),
      NA(),
      (INDIRECT(ADDRESS(C$7+ROWS(A$18:$B79)-1,COLUMN(INDIRECT(C$9&amp;1)),,,C$6))-C$10)/(C$11-C$10)*(C$13-C$12))*IF(C$14&lt;&gt;"",C$14,1))</f>
        <v>46295.945393518516</v>
      </c>
      <c r="D79" s="4" cm="1">
        <f t="array" aca="1" ref="D79" ca="1">IF(ROWS(B$18:B79)&gt;D$8-D$7+1,
   NA(),
   IF(OR(D$7="",D$8="",D$7=D$8),
      NA(),
      (INDIRECT(ADDRESS(D$7+ROWS($B$18:B79)-1,COLUMN(INDIRECT(D$9&amp;1)),,,D$6))-D$10)/(D$11-D$10)*(D$13-D$12))*IF(D$14&lt;&gt;"",D$14,1))</f>
        <v>-0.4</v>
      </c>
      <c r="E79" s="4" t="e" cm="1">
        <f t="array" aca="1" ref="E79" ca="1">IF(ROWS(C$18:C79)&gt;E$8-E$7+1,
   NA(),
   IF(OR(E$7="",E$8="",E$7=E$8),
      NA(),
      (INDIRECT(ADDRESS(E$7+ROWS($B$18:C79)-1,COLUMN(INDIRECT(E$9&amp;1)),,,E$6))-E$10)/(E$11-E$10)*(E$13-E$12))*IF(E$14&lt;&gt;"",E$14,1))</f>
        <v>#VALUE!</v>
      </c>
      <c r="F79" s="4" cm="1">
        <f t="array" aca="1" ref="F79" ca="1">IF(ROWS(D$18:D79)&gt;F$8-F$7+1,
   NA(),
   IF(OR(F$7="",F$8="",F$7=F$8),
      NA(),
      (INDIRECT(ADDRESS(F$7+ROWS($B$18:D79)-1,COLUMN(INDIRECT(F$9&amp;1)),,,F$6))-F$10)/(F$11-F$10)*(F$13-F$12))*IF(F$14&lt;&gt;"",F$14,1))</f>
        <v>2.3239135742190165</v>
      </c>
      <c r="I79" s="3" t="e" cm="1">
        <f t="array" aca="1" ref="I79" ca="1">IF(ROWS(G$18:G79)&gt;I$8-I$7+1,
   NA(),
   IF(OR(I$7="",I$8="",I$7=I$8),
      NA(),
      (INDIRECT(ADDRESS(I$7+ROWS($B$18:G79)-1,COLUMN(INDIRECT(I$9&amp;1)),,,I$6))-I$10)/(I$11-I$10)*(I$13-I$12))*IF(I$14&lt;&gt;"",I$14,1))</f>
        <v>#N/A</v>
      </c>
      <c r="J79" s="4" t="e" cm="1">
        <f t="array" aca="1" ref="J79" ca="1">IF(ROWS(H$18:H79)&gt;J$8-J$7+1,
   NA(),
   IF(OR(J$7="",J$8="",J$7=J$8),
      NA(),
      (INDIRECT(ADDRESS(J$7+ROWS($B$18:H79)-1,COLUMN(INDIRECT(J$9&amp;1)),,,J$6))-J$10)/(J$11-J$10)*(J$13-J$12))*IF(J$14&lt;&gt;"",J$14,1))</f>
        <v>#N/A</v>
      </c>
      <c r="K79" s="4" t="e" cm="1">
        <f t="array" aca="1" ref="K79" ca="1">IF(ROWS(I$18:I79)&gt;K$8-K$7+1,
   NA(),
   IF(OR(K$7="",K$8="",K$7=K$8),
      NA(),
      (INDIRECT(ADDRESS(K$7+ROWS($B$18:I79)-1,COLUMN(INDIRECT(K$9&amp;1)),,,K$6))-K$10)/(K$11-K$10)*(K$13-K$12))*IF(K$14&lt;&gt;"",K$14,1))</f>
        <v>#N/A</v>
      </c>
      <c r="L79" s="4" t="e" cm="1">
        <f t="array" aca="1" ref="L79" ca="1">IF(ROWS(J$18:J79)&gt;L$8-L$7+1,
   NA(),
   IF(OR(L$7="",L$8="",L$7=L$8),
      NA(),
      (INDIRECT(ADDRESS(L$7+ROWS($B$18:J79)-1,COLUMN(INDIRECT(L$9&amp;1)),,,L$6))-L$10)/(L$11-L$10)*(L$13-L$12))*IF(L$14&lt;&gt;"",L$14,1))</f>
        <v>#N/A</v>
      </c>
    </row>
    <row r="80" spans="3:12" x14ac:dyDescent="0.2">
      <c r="C80" s="3" cm="1">
        <f t="array" aca="1" ref="C80" ca="1">IF(ROWS(A$18:A80)&gt;C$8-C$7+1,
   NA(),
   IF(OR(C$7="",C$8="",C$7=C$8),
      NA(),
      (INDIRECT(ADDRESS(C$7+ROWS(A$18:$B80)-1,COLUMN(INDIRECT(C$9&amp;1)),,,C$6))-C$10)/(C$11-C$10)*(C$13-C$12))*IF(C$14&lt;&gt;"",C$14,1))</f>
        <v>46295.945428240739</v>
      </c>
      <c r="D80" s="4" cm="1">
        <f t="array" aca="1" ref="D80" ca="1">IF(ROWS(B$18:B80)&gt;D$8-D$7+1,
   NA(),
   IF(OR(D$7="",D$8="",D$7=D$8),
      NA(),
      (INDIRECT(ADDRESS(D$7+ROWS($B$18:B80)-1,COLUMN(INDIRECT(D$9&amp;1)),,,D$6))-D$10)/(D$11-D$10)*(D$13-D$12))*IF(D$14&lt;&gt;"",D$14,1))</f>
        <v>-0.5</v>
      </c>
      <c r="E80" s="4" t="e" cm="1">
        <f t="array" aca="1" ref="E80" ca="1">IF(ROWS(C$18:C80)&gt;E$8-E$7+1,
   NA(),
   IF(OR(E$7="",E$8="",E$7=E$8),
      NA(),
      (INDIRECT(ADDRESS(E$7+ROWS($B$18:C80)-1,COLUMN(INDIRECT(E$9&amp;1)),,,E$6))-E$10)/(E$11-E$10)*(E$13-E$12))*IF(E$14&lt;&gt;"",E$14,1))</f>
        <v>#VALUE!</v>
      </c>
      <c r="F80" s="4" cm="1">
        <f t="array" aca="1" ref="F80" ca="1">IF(ROWS(D$18:D80)&gt;F$8-F$7+1,
   NA(),
   IF(OR(F$7="",F$8="",F$7=F$8),
      NA(),
      (INDIRECT(ADDRESS(F$7+ROWS($B$18:D80)-1,COLUMN(INDIRECT(F$9&amp;1)),,,F$6))-F$10)/(F$11-F$10)*(F$13-F$12))*IF(F$14&lt;&gt;"",F$14,1))</f>
        <v>2.8884887695315165</v>
      </c>
      <c r="I80" s="3" t="e" cm="1">
        <f t="array" aca="1" ref="I80" ca="1">IF(ROWS(G$18:G80)&gt;I$8-I$7+1,
   NA(),
   IF(OR(I$7="",I$8="",I$7=I$8),
      NA(),
      (INDIRECT(ADDRESS(I$7+ROWS($B$18:G80)-1,COLUMN(INDIRECT(I$9&amp;1)),,,I$6))-I$10)/(I$11-I$10)*(I$13-I$12))*IF(I$14&lt;&gt;"",I$14,1))</f>
        <v>#N/A</v>
      </c>
      <c r="J80" s="4" t="e" cm="1">
        <f t="array" aca="1" ref="J80" ca="1">IF(ROWS(H$18:H80)&gt;J$8-J$7+1,
   NA(),
   IF(OR(J$7="",J$8="",J$7=J$8),
      NA(),
      (INDIRECT(ADDRESS(J$7+ROWS($B$18:H80)-1,COLUMN(INDIRECT(J$9&amp;1)),,,J$6))-J$10)/(J$11-J$10)*(J$13-J$12))*IF(J$14&lt;&gt;"",J$14,1))</f>
        <v>#N/A</v>
      </c>
      <c r="K80" s="4" t="e" cm="1">
        <f t="array" aca="1" ref="K80" ca="1">IF(ROWS(I$18:I80)&gt;K$8-K$7+1,
   NA(),
   IF(OR(K$7="",K$8="",K$7=K$8),
      NA(),
      (INDIRECT(ADDRESS(K$7+ROWS($B$18:I80)-1,COLUMN(INDIRECT(K$9&amp;1)),,,K$6))-K$10)/(K$11-K$10)*(K$13-K$12))*IF(K$14&lt;&gt;"",K$14,1))</f>
        <v>#N/A</v>
      </c>
      <c r="L80" s="4" t="e" cm="1">
        <f t="array" aca="1" ref="L80" ca="1">IF(ROWS(J$18:J80)&gt;L$8-L$7+1,
   NA(),
   IF(OR(L$7="",L$8="",L$7=L$8),
      NA(),
      (INDIRECT(ADDRESS(L$7+ROWS($B$18:J80)-1,COLUMN(INDIRECT(L$9&amp;1)),,,L$6))-L$10)/(L$11-L$10)*(L$13-L$12))*IF(L$14&lt;&gt;"",L$14,1))</f>
        <v>#N/A</v>
      </c>
    </row>
    <row r="81" spans="3:12" x14ac:dyDescent="0.2">
      <c r="C81" s="3" cm="1">
        <f t="array" aca="1" ref="C81" ca="1">IF(ROWS(A$18:A81)&gt;C$8-C$7+1,
   NA(),
   IF(OR(C$7="",C$8="",C$7=C$8),
      NA(),
      (INDIRECT(ADDRESS(C$7+ROWS(A$18:$B81)-1,COLUMN(INDIRECT(C$9&amp;1)),,,C$6))-C$10)/(C$11-C$10)*(C$13-C$12))*IF(C$14&lt;&gt;"",C$14,1))</f>
        <v>46295.945474537039</v>
      </c>
      <c r="D81" s="4" cm="1">
        <f t="array" aca="1" ref="D81" ca="1">IF(ROWS(B$18:B81)&gt;D$8-D$7+1,
   NA(),
   IF(OR(D$7="",D$8="",D$7=D$8),
      NA(),
      (INDIRECT(ADDRESS(D$7+ROWS($B$18:B81)-1,COLUMN(INDIRECT(D$9&amp;1)),,,D$6))-D$10)/(D$11-D$10)*(D$13-D$12))*IF(D$14&lt;&gt;"",D$14,1))</f>
        <v>-0.6</v>
      </c>
      <c r="E81" s="4" t="e" cm="1">
        <f t="array" aca="1" ref="E81" ca="1">IF(ROWS(C$18:C81)&gt;E$8-E$7+1,
   NA(),
   IF(OR(E$7="",E$8="",E$7=E$8),
      NA(),
      (INDIRECT(ADDRESS(E$7+ROWS($B$18:C81)-1,COLUMN(INDIRECT(E$9&amp;1)),,,E$6))-E$10)/(E$11-E$10)*(E$13-E$12))*IF(E$14&lt;&gt;"",E$14,1))</f>
        <v>#VALUE!</v>
      </c>
      <c r="F81" s="4" cm="1">
        <f t="array" aca="1" ref="F81" ca="1">IF(ROWS(D$18:D81)&gt;F$8-F$7+1,
   NA(),
   IF(OR(F$7="",F$8="",F$7=F$8),
      NA(),
      (INDIRECT(ADDRESS(F$7+ROWS($B$18:D81)-1,COLUMN(INDIRECT(F$9&amp;1)),,,F$6))-F$10)/(F$11-F$10)*(F$13-F$12))*IF(F$14&lt;&gt;"",F$14,1))</f>
        <v>-1.57470703125</v>
      </c>
      <c r="I81" s="3" t="e" cm="1">
        <f t="array" aca="1" ref="I81" ca="1">IF(ROWS(G$18:G81)&gt;I$8-I$7+1,
   NA(),
   IF(OR(I$7="",I$8="",I$7=I$8),
      NA(),
      (INDIRECT(ADDRESS(I$7+ROWS($B$18:G81)-1,COLUMN(INDIRECT(I$9&amp;1)),,,I$6))-I$10)/(I$11-I$10)*(I$13-I$12))*IF(I$14&lt;&gt;"",I$14,1))</f>
        <v>#N/A</v>
      </c>
      <c r="J81" s="4" t="e" cm="1">
        <f t="array" aca="1" ref="J81" ca="1">IF(ROWS(H$18:H81)&gt;J$8-J$7+1,
   NA(),
   IF(OR(J$7="",J$8="",J$7=J$8),
      NA(),
      (INDIRECT(ADDRESS(J$7+ROWS($B$18:H81)-1,COLUMN(INDIRECT(J$9&amp;1)),,,J$6))-J$10)/(J$11-J$10)*(J$13-J$12))*IF(J$14&lt;&gt;"",J$14,1))</f>
        <v>#N/A</v>
      </c>
      <c r="K81" s="4" t="e" cm="1">
        <f t="array" aca="1" ref="K81" ca="1">IF(ROWS(I$18:I81)&gt;K$8-K$7+1,
   NA(),
   IF(OR(K$7="",K$8="",K$7=K$8),
      NA(),
      (INDIRECT(ADDRESS(K$7+ROWS($B$18:I81)-1,COLUMN(INDIRECT(K$9&amp;1)),,,K$6))-K$10)/(K$11-K$10)*(K$13-K$12))*IF(K$14&lt;&gt;"",K$14,1))</f>
        <v>#N/A</v>
      </c>
      <c r="L81" s="4" t="e" cm="1">
        <f t="array" aca="1" ref="L81" ca="1">IF(ROWS(J$18:J81)&gt;L$8-L$7+1,
   NA(),
   IF(OR(L$7="",L$8="",L$7=L$8),
      NA(),
      (INDIRECT(ADDRESS(L$7+ROWS($B$18:J81)-1,COLUMN(INDIRECT(L$9&amp;1)),,,L$6))-L$10)/(L$11-L$10)*(L$13-L$12))*IF(L$14&lt;&gt;"",L$14,1))</f>
        <v>#N/A</v>
      </c>
    </row>
    <row r="82" spans="3:12" x14ac:dyDescent="0.2">
      <c r="C82" s="3" cm="1">
        <f t="array" aca="1" ref="C82" ca="1">IF(ROWS(A$18:A82)&gt;C$8-C$7+1,
   NA(),
   IF(OR(C$7="",C$8="",C$7=C$8),
      NA(),
      (INDIRECT(ADDRESS(C$7+ROWS(A$18:$B82)-1,COLUMN(INDIRECT(C$9&amp;1)),,,C$6))-C$10)/(C$11-C$10)*(C$13-C$12))*IF(C$14&lt;&gt;"",C$14,1))</f>
        <v>46295.945509259262</v>
      </c>
      <c r="D82" s="4" cm="1">
        <f t="array" aca="1" ref="D82" ca="1">IF(ROWS(B$18:B82)&gt;D$8-D$7+1,
   NA(),
   IF(OR(D$7="",D$8="",D$7=D$8),
      NA(),
      (INDIRECT(ADDRESS(D$7+ROWS($B$18:B82)-1,COLUMN(INDIRECT(D$9&amp;1)),,,D$6))-D$10)/(D$11-D$10)*(D$13-D$12))*IF(D$14&lt;&gt;"",D$14,1))</f>
        <v>-0.7</v>
      </c>
      <c r="E82" s="4" t="e" cm="1">
        <f t="array" aca="1" ref="E82" ca="1">IF(ROWS(C$18:C82)&gt;E$8-E$7+1,
   NA(),
   IF(OR(E$7="",E$8="",E$7=E$8),
      NA(),
      (INDIRECT(ADDRESS(E$7+ROWS($B$18:C82)-1,COLUMN(INDIRECT(E$9&amp;1)),,,E$6))-E$10)/(E$11-E$10)*(E$13-E$12))*IF(E$14&lt;&gt;"",E$14,1))</f>
        <v>#VALUE!</v>
      </c>
      <c r="F82" s="4" cm="1">
        <f t="array" aca="1" ref="F82" ca="1">IF(ROWS(D$18:D82)&gt;F$8-F$7+1,
   NA(),
   IF(OR(F$7="",F$8="",F$7=F$8),
      NA(),
      (INDIRECT(ADDRESS(F$7+ROWS($B$18:D82)-1,COLUMN(INDIRECT(F$9&amp;1)),,,F$6))-F$10)/(F$11-F$10)*(F$13-F$12))*IF(F$14&lt;&gt;"",F$14,1))</f>
        <v>-2.4826049804684835</v>
      </c>
      <c r="I82" s="3" t="e" cm="1">
        <f t="array" aca="1" ref="I82" ca="1">IF(ROWS(G$18:G82)&gt;I$8-I$7+1,
   NA(),
   IF(OR(I$7="",I$8="",I$7=I$8),
      NA(),
      (INDIRECT(ADDRESS(I$7+ROWS($B$18:G82)-1,COLUMN(INDIRECT(I$9&amp;1)),,,I$6))-I$10)/(I$11-I$10)*(I$13-I$12))*IF(I$14&lt;&gt;"",I$14,1))</f>
        <v>#N/A</v>
      </c>
      <c r="J82" s="4" t="e" cm="1">
        <f t="array" aca="1" ref="J82" ca="1">IF(ROWS(H$18:H82)&gt;J$8-J$7+1,
   NA(),
   IF(OR(J$7="",J$8="",J$7=J$8),
      NA(),
      (INDIRECT(ADDRESS(J$7+ROWS($B$18:H82)-1,COLUMN(INDIRECT(J$9&amp;1)),,,J$6))-J$10)/(J$11-J$10)*(J$13-J$12))*IF(J$14&lt;&gt;"",J$14,1))</f>
        <v>#N/A</v>
      </c>
      <c r="K82" s="4" t="e" cm="1">
        <f t="array" aca="1" ref="K82" ca="1">IF(ROWS(I$18:I82)&gt;K$8-K$7+1,
   NA(),
   IF(OR(K$7="",K$8="",K$7=K$8),
      NA(),
      (INDIRECT(ADDRESS(K$7+ROWS($B$18:I82)-1,COLUMN(INDIRECT(K$9&amp;1)),,,K$6))-K$10)/(K$11-K$10)*(K$13-K$12))*IF(K$14&lt;&gt;"",K$14,1))</f>
        <v>#N/A</v>
      </c>
      <c r="L82" s="4" t="e" cm="1">
        <f t="array" aca="1" ref="L82" ca="1">IF(ROWS(J$18:J82)&gt;L$8-L$7+1,
   NA(),
   IF(OR(L$7="",L$8="",L$7=L$8),
      NA(),
      (INDIRECT(ADDRESS(L$7+ROWS($B$18:J82)-1,COLUMN(INDIRECT(L$9&amp;1)),,,L$6))-L$10)/(L$11-L$10)*(L$13-L$12))*IF(L$14&lt;&gt;"",L$14,1))</f>
        <v>#N/A</v>
      </c>
    </row>
    <row r="83" spans="3:12" x14ac:dyDescent="0.2">
      <c r="C83" s="3" cm="1">
        <f t="array" aca="1" ref="C83" ca="1">IF(ROWS(A$18:A83)&gt;C$8-C$7+1,
   NA(),
   IF(OR(C$7="",C$8="",C$7=C$8),
      NA(),
      (INDIRECT(ADDRESS(C$7+ROWS(A$18:$B83)-1,COLUMN(INDIRECT(C$9&amp;1)),,,C$6))-C$10)/(C$11-C$10)*(C$13-C$12))*IF(C$14&lt;&gt;"",C$14,1))</f>
        <v>46295.945543981485</v>
      </c>
      <c r="D83" s="4" cm="1">
        <f t="array" aca="1" ref="D83" ca="1">IF(ROWS(B$18:B83)&gt;D$8-D$7+1,
   NA(),
   IF(OR(D$7="",D$8="",D$7=D$8),
      NA(),
      (INDIRECT(ADDRESS(D$7+ROWS($B$18:B83)-1,COLUMN(INDIRECT(D$9&amp;1)),,,D$6))-D$10)/(D$11-D$10)*(D$13-D$12))*IF(D$14&lt;&gt;"",D$14,1))</f>
        <v>-0.8</v>
      </c>
      <c r="E83" s="4" t="e" cm="1">
        <f t="array" aca="1" ref="E83" ca="1">IF(ROWS(C$18:C83)&gt;E$8-E$7+1,
   NA(),
   IF(OR(E$7="",E$8="",E$7=E$8),
      NA(),
      (INDIRECT(ADDRESS(E$7+ROWS($B$18:C83)-1,COLUMN(INDIRECT(E$9&amp;1)),,,E$6))-E$10)/(E$11-E$10)*(E$13-E$12))*IF(E$14&lt;&gt;"",E$14,1))</f>
        <v>#VALUE!</v>
      </c>
      <c r="F83" s="4" cm="1">
        <f t="array" aca="1" ref="F83" ca="1">IF(ROWS(D$18:D83)&gt;F$8-F$7+1,
   NA(),
   IF(OR(F$7="",F$8="",F$7=F$8),
      NA(),
      (INDIRECT(ADDRESS(F$7+ROWS($B$18:D83)-1,COLUMN(INDIRECT(F$9&amp;1)),,,F$6))-F$10)/(F$11-F$10)*(F$13-F$12))*IF(F$14&lt;&gt;"",F$14,1))</f>
        <v>2.2781372070315165</v>
      </c>
      <c r="I83" s="3" t="e" cm="1">
        <f t="array" aca="1" ref="I83" ca="1">IF(ROWS(G$18:G83)&gt;I$8-I$7+1,
   NA(),
   IF(OR(I$7="",I$8="",I$7=I$8),
      NA(),
      (INDIRECT(ADDRESS(I$7+ROWS($B$18:G83)-1,COLUMN(INDIRECT(I$9&amp;1)),,,I$6))-I$10)/(I$11-I$10)*(I$13-I$12))*IF(I$14&lt;&gt;"",I$14,1))</f>
        <v>#N/A</v>
      </c>
      <c r="J83" s="4" t="e" cm="1">
        <f t="array" aca="1" ref="J83" ca="1">IF(ROWS(H$18:H83)&gt;J$8-J$7+1,
   NA(),
   IF(OR(J$7="",J$8="",J$7=J$8),
      NA(),
      (INDIRECT(ADDRESS(J$7+ROWS($B$18:H83)-1,COLUMN(INDIRECT(J$9&amp;1)),,,J$6))-J$10)/(J$11-J$10)*(J$13-J$12))*IF(J$14&lt;&gt;"",J$14,1))</f>
        <v>#N/A</v>
      </c>
      <c r="K83" s="4" t="e" cm="1">
        <f t="array" aca="1" ref="K83" ca="1">IF(ROWS(I$18:I83)&gt;K$8-K$7+1,
   NA(),
   IF(OR(K$7="",K$8="",K$7=K$8),
      NA(),
      (INDIRECT(ADDRESS(K$7+ROWS($B$18:I83)-1,COLUMN(INDIRECT(K$9&amp;1)),,,K$6))-K$10)/(K$11-K$10)*(K$13-K$12))*IF(K$14&lt;&gt;"",K$14,1))</f>
        <v>#N/A</v>
      </c>
      <c r="L83" s="4" t="e" cm="1">
        <f t="array" aca="1" ref="L83" ca="1">IF(ROWS(J$18:J83)&gt;L$8-L$7+1,
   NA(),
   IF(OR(L$7="",L$8="",L$7=L$8),
      NA(),
      (INDIRECT(ADDRESS(L$7+ROWS($B$18:J83)-1,COLUMN(INDIRECT(L$9&amp;1)),,,L$6))-L$10)/(L$11-L$10)*(L$13-L$12))*IF(L$14&lt;&gt;"",L$14,1))</f>
        <v>#N/A</v>
      </c>
    </row>
    <row r="84" spans="3:12" x14ac:dyDescent="0.2">
      <c r="C84" s="3" cm="1">
        <f t="array" aca="1" ref="C84" ca="1">IF(ROWS(A$18:A84)&gt;C$8-C$7+1,
   NA(),
   IF(OR(C$7="",C$8="",C$7=C$8),
      NA(),
      (INDIRECT(ADDRESS(C$7+ROWS(A$18:$B84)-1,COLUMN(INDIRECT(C$9&amp;1)),,,C$6))-C$10)/(C$11-C$10)*(C$13-C$12))*IF(C$14&lt;&gt;"",C$14,1))</f>
        <v>46295.9455787037</v>
      </c>
      <c r="D84" s="4" cm="1">
        <f t="array" aca="1" ref="D84" ca="1">IF(ROWS(B$18:B84)&gt;D$8-D$7+1,
   NA(),
   IF(OR(D$7="",D$8="",D$7=D$8),
      NA(),
      (INDIRECT(ADDRESS(D$7+ROWS($B$18:B84)-1,COLUMN(INDIRECT(D$9&amp;1)),,,D$6))-D$10)/(D$11-D$10)*(D$13-D$12))*IF(D$14&lt;&gt;"",D$14,1))</f>
        <v>-0.9</v>
      </c>
      <c r="E84" s="4" t="e" cm="1">
        <f t="array" aca="1" ref="E84" ca="1">IF(ROWS(C$18:C84)&gt;E$8-E$7+1,
   NA(),
   IF(OR(E$7="",E$8="",E$7=E$8),
      NA(),
      (INDIRECT(ADDRESS(E$7+ROWS($B$18:C84)-1,COLUMN(INDIRECT(E$9&amp;1)),,,E$6))-E$10)/(E$11-E$10)*(E$13-E$12))*IF(E$14&lt;&gt;"",E$14,1))</f>
        <v>#VALUE!</v>
      </c>
      <c r="F84" s="4" cm="1">
        <f t="array" aca="1" ref="F84" ca="1">IF(ROWS(D$18:D84)&gt;F$8-F$7+1,
   NA(),
   IF(OR(F$7="",F$8="",F$7=F$8),
      NA(),
      (INDIRECT(ADDRESS(F$7+ROWS($B$18:D84)-1,COLUMN(INDIRECT(F$9&amp;1)),,,F$6))-F$10)/(F$11-F$10)*(F$13-F$12))*IF(F$14&lt;&gt;"",F$14,1))</f>
        <v>0.714111328125</v>
      </c>
      <c r="I84" s="3" t="e" cm="1">
        <f t="array" aca="1" ref="I84" ca="1">IF(ROWS(G$18:G84)&gt;I$8-I$7+1,
   NA(),
   IF(OR(I$7="",I$8="",I$7=I$8),
      NA(),
      (INDIRECT(ADDRESS(I$7+ROWS($B$18:G84)-1,COLUMN(INDIRECT(I$9&amp;1)),,,I$6))-I$10)/(I$11-I$10)*(I$13-I$12))*IF(I$14&lt;&gt;"",I$14,1))</f>
        <v>#N/A</v>
      </c>
      <c r="J84" s="4" t="e" cm="1">
        <f t="array" aca="1" ref="J84" ca="1">IF(ROWS(H$18:H84)&gt;J$8-J$7+1,
   NA(),
   IF(OR(J$7="",J$8="",J$7=J$8),
      NA(),
      (INDIRECT(ADDRESS(J$7+ROWS($B$18:H84)-1,COLUMN(INDIRECT(J$9&amp;1)),,,J$6))-J$10)/(J$11-J$10)*(J$13-J$12))*IF(J$14&lt;&gt;"",J$14,1))</f>
        <v>#N/A</v>
      </c>
      <c r="K84" s="4" t="e" cm="1">
        <f t="array" aca="1" ref="K84" ca="1">IF(ROWS(I$18:I84)&gt;K$8-K$7+1,
   NA(),
   IF(OR(K$7="",K$8="",K$7=K$8),
      NA(),
      (INDIRECT(ADDRESS(K$7+ROWS($B$18:I84)-1,COLUMN(INDIRECT(K$9&amp;1)),,,K$6))-K$10)/(K$11-K$10)*(K$13-K$12))*IF(K$14&lt;&gt;"",K$14,1))</f>
        <v>#N/A</v>
      </c>
      <c r="L84" s="4" t="e" cm="1">
        <f t="array" aca="1" ref="L84" ca="1">IF(ROWS(J$18:J84)&gt;L$8-L$7+1,
   NA(),
   IF(OR(L$7="",L$8="",L$7=L$8),
      NA(),
      (INDIRECT(ADDRESS(L$7+ROWS($B$18:J84)-1,COLUMN(INDIRECT(L$9&amp;1)),,,L$6))-L$10)/(L$11-L$10)*(L$13-L$12))*IF(L$14&lt;&gt;"",L$14,1))</f>
        <v>#N/A</v>
      </c>
    </row>
    <row r="85" spans="3:12" x14ac:dyDescent="0.2">
      <c r="C85" s="3" cm="1">
        <f t="array" aca="1" ref="C85" ca="1">IF(ROWS(A$18:A85)&gt;C$8-C$7+1,
   NA(),
   IF(OR(C$7="",C$8="",C$7=C$8),
      NA(),
      (INDIRECT(ADDRESS(C$7+ROWS(A$18:$B85)-1,COLUMN(INDIRECT(C$9&amp;1)),,,C$6))-C$10)/(C$11-C$10)*(C$13-C$12))*IF(C$14&lt;&gt;"",C$14,1))</f>
        <v>46295.945613425924</v>
      </c>
      <c r="D85" s="4" cm="1">
        <f t="array" aca="1" ref="D85" ca="1">IF(ROWS(B$18:B85)&gt;D$8-D$7+1,
   NA(),
   IF(OR(D$7="",D$8="",D$7=D$8),
      NA(),
      (INDIRECT(ADDRESS(D$7+ROWS($B$18:B85)-1,COLUMN(INDIRECT(D$9&amp;1)),,,D$6))-D$10)/(D$11-D$10)*(D$13-D$12))*IF(D$14&lt;&gt;"",D$14,1))</f>
        <v>-1</v>
      </c>
      <c r="E85" s="4" t="e" cm="1">
        <f t="array" aca="1" ref="E85" ca="1">IF(ROWS(C$18:C85)&gt;E$8-E$7+1,
   NA(),
   IF(OR(E$7="",E$8="",E$7=E$8),
      NA(),
      (INDIRECT(ADDRESS(E$7+ROWS($B$18:C85)-1,COLUMN(INDIRECT(E$9&amp;1)),,,E$6))-E$10)/(E$11-E$10)*(E$13-E$12))*IF(E$14&lt;&gt;"",E$14,1))</f>
        <v>#VALUE!</v>
      </c>
      <c r="F85" s="4" cm="1">
        <f t="array" aca="1" ref="F85" ca="1">IF(ROWS(D$18:D85)&gt;F$8-F$7+1,
   NA(),
   IF(OR(F$7="",F$8="",F$7=F$8),
      NA(),
      (INDIRECT(ADDRESS(F$7+ROWS($B$18:D85)-1,COLUMN(INDIRECT(F$9&amp;1)),,,F$6))-F$10)/(F$11-F$10)*(F$13-F$12))*IF(F$14&lt;&gt;"",F$14,1))</f>
        <v>-1.6738891601559835</v>
      </c>
      <c r="I85" s="3" t="e" cm="1">
        <f t="array" aca="1" ref="I85" ca="1">IF(ROWS(G$18:G85)&gt;I$8-I$7+1,
   NA(),
   IF(OR(I$7="",I$8="",I$7=I$8),
      NA(),
      (INDIRECT(ADDRESS(I$7+ROWS($B$18:G85)-1,COLUMN(INDIRECT(I$9&amp;1)),,,I$6))-I$10)/(I$11-I$10)*(I$13-I$12))*IF(I$14&lt;&gt;"",I$14,1))</f>
        <v>#N/A</v>
      </c>
      <c r="J85" s="4" t="e" cm="1">
        <f t="array" aca="1" ref="J85" ca="1">IF(ROWS(H$18:H85)&gt;J$8-J$7+1,
   NA(),
   IF(OR(J$7="",J$8="",J$7=J$8),
      NA(),
      (INDIRECT(ADDRESS(J$7+ROWS($B$18:H85)-1,COLUMN(INDIRECT(J$9&amp;1)),,,J$6))-J$10)/(J$11-J$10)*(J$13-J$12))*IF(J$14&lt;&gt;"",J$14,1))</f>
        <v>#N/A</v>
      </c>
      <c r="K85" s="4" t="e" cm="1">
        <f t="array" aca="1" ref="K85" ca="1">IF(ROWS(I$18:I85)&gt;K$8-K$7+1,
   NA(),
   IF(OR(K$7="",K$8="",K$7=K$8),
      NA(),
      (INDIRECT(ADDRESS(K$7+ROWS($B$18:I85)-1,COLUMN(INDIRECT(K$9&amp;1)),,,K$6))-K$10)/(K$11-K$10)*(K$13-K$12))*IF(K$14&lt;&gt;"",K$14,1))</f>
        <v>#N/A</v>
      </c>
      <c r="L85" s="4" t="e" cm="1">
        <f t="array" aca="1" ref="L85" ca="1">IF(ROWS(J$18:J85)&gt;L$8-L$7+1,
   NA(),
   IF(OR(L$7="",L$8="",L$7=L$8),
      NA(),
      (INDIRECT(ADDRESS(L$7+ROWS($B$18:J85)-1,COLUMN(INDIRECT(L$9&amp;1)),,,L$6))-L$10)/(L$11-L$10)*(L$13-L$12))*IF(L$14&lt;&gt;"",L$14,1))</f>
        <v>#N/A</v>
      </c>
    </row>
    <row r="86" spans="3:12" x14ac:dyDescent="0.2">
      <c r="C86" s="3" cm="1">
        <f t="array" aca="1" ref="C86" ca="1">IF(ROWS(A$18:A86)&gt;C$8-C$7+1,
   NA(),
   IF(OR(C$7="",C$8="",C$7=C$8),
      NA(),
      (INDIRECT(ADDRESS(C$7+ROWS(A$18:$B86)-1,COLUMN(INDIRECT(C$9&amp;1)),,,C$6))-C$10)/(C$11-C$10)*(C$13-C$12))*IF(C$14&lt;&gt;"",C$14,1))</f>
        <v>46295.945648148147</v>
      </c>
      <c r="D86" s="4" cm="1">
        <f t="array" aca="1" ref="D86" ca="1">IF(ROWS(B$18:B86)&gt;D$8-D$7+1,
   NA(),
   IF(OR(D$7="",D$8="",D$7=D$8),
      NA(),
      (INDIRECT(ADDRESS(D$7+ROWS($B$18:B86)-1,COLUMN(INDIRECT(D$9&amp;1)),,,D$6))-D$10)/(D$11-D$10)*(D$13-D$12))*IF(D$14&lt;&gt;"",D$14,1))</f>
        <v>-1.1000000000000001</v>
      </c>
      <c r="E86" s="4" t="e" cm="1">
        <f t="array" aca="1" ref="E86" ca="1">IF(ROWS(C$18:C86)&gt;E$8-E$7+1,
   NA(),
   IF(OR(E$7="",E$8="",E$7=E$8),
      NA(),
      (INDIRECT(ADDRESS(E$7+ROWS($B$18:C86)-1,COLUMN(INDIRECT(E$9&amp;1)),,,E$6))-E$10)/(E$11-E$10)*(E$13-E$12))*IF(E$14&lt;&gt;"",E$14,1))</f>
        <v>#VALUE!</v>
      </c>
      <c r="F86" s="4" cm="1">
        <f t="array" aca="1" ref="F86" ca="1">IF(ROWS(D$18:D86)&gt;F$8-F$7+1,
   NA(),
   IF(OR(F$7="",F$8="",F$7=F$8),
      NA(),
      (INDIRECT(ADDRESS(F$7+ROWS($B$18:D86)-1,COLUMN(INDIRECT(F$9&amp;1)),,,F$6))-F$10)/(F$11-F$10)*(F$13-F$12))*IF(F$14&lt;&gt;"",F$14,1))</f>
        <v>-1.5823364257809835</v>
      </c>
      <c r="I86" s="3" t="e" cm="1">
        <f t="array" aca="1" ref="I86" ca="1">IF(ROWS(G$18:G86)&gt;I$8-I$7+1,
   NA(),
   IF(OR(I$7="",I$8="",I$7=I$8),
      NA(),
      (INDIRECT(ADDRESS(I$7+ROWS($B$18:G86)-1,COLUMN(INDIRECT(I$9&amp;1)),,,I$6))-I$10)/(I$11-I$10)*(I$13-I$12))*IF(I$14&lt;&gt;"",I$14,1))</f>
        <v>#N/A</v>
      </c>
      <c r="J86" s="4" t="e" cm="1">
        <f t="array" aca="1" ref="J86" ca="1">IF(ROWS(H$18:H86)&gt;J$8-J$7+1,
   NA(),
   IF(OR(J$7="",J$8="",J$7=J$8),
      NA(),
      (INDIRECT(ADDRESS(J$7+ROWS($B$18:H86)-1,COLUMN(INDIRECT(J$9&amp;1)),,,J$6))-J$10)/(J$11-J$10)*(J$13-J$12))*IF(J$14&lt;&gt;"",J$14,1))</f>
        <v>#N/A</v>
      </c>
      <c r="K86" s="4" t="e" cm="1">
        <f t="array" aca="1" ref="K86" ca="1">IF(ROWS(I$18:I86)&gt;K$8-K$7+1,
   NA(),
   IF(OR(K$7="",K$8="",K$7=K$8),
      NA(),
      (INDIRECT(ADDRESS(K$7+ROWS($B$18:I86)-1,COLUMN(INDIRECT(K$9&amp;1)),,,K$6))-K$10)/(K$11-K$10)*(K$13-K$12))*IF(K$14&lt;&gt;"",K$14,1))</f>
        <v>#N/A</v>
      </c>
      <c r="L86" s="4" t="e" cm="1">
        <f t="array" aca="1" ref="L86" ca="1">IF(ROWS(J$18:J86)&gt;L$8-L$7+1,
   NA(),
   IF(OR(L$7="",L$8="",L$7=L$8),
      NA(),
      (INDIRECT(ADDRESS(L$7+ROWS($B$18:J86)-1,COLUMN(INDIRECT(L$9&amp;1)),,,L$6))-L$10)/(L$11-L$10)*(L$13-L$12))*IF(L$14&lt;&gt;"",L$14,1))</f>
        <v>#N/A</v>
      </c>
    </row>
    <row r="87" spans="3:12" x14ac:dyDescent="0.2">
      <c r="C87" s="3" cm="1">
        <f t="array" aca="1" ref="C87" ca="1">IF(ROWS(A$18:A87)&gt;C$8-C$7+1,
   NA(),
   IF(OR(C$7="",C$8="",C$7=C$8),
      NA(),
      (INDIRECT(ADDRESS(C$7+ROWS(A$18:$B87)-1,COLUMN(INDIRECT(C$9&amp;1)),,,C$6))-C$10)/(C$11-C$10)*(C$13-C$12))*IF(C$14&lt;&gt;"",C$14,1))</f>
        <v>46295.94568287037</v>
      </c>
      <c r="D87" s="4" cm="1">
        <f t="array" aca="1" ref="D87" ca="1">IF(ROWS(B$18:B87)&gt;D$8-D$7+1,
   NA(),
   IF(OR(D$7="",D$8="",D$7=D$8),
      NA(),
      (INDIRECT(ADDRESS(D$7+ROWS($B$18:B87)-1,COLUMN(INDIRECT(D$9&amp;1)),,,D$6))-D$10)/(D$11-D$10)*(D$13-D$12))*IF(D$14&lt;&gt;"",D$14,1))</f>
        <v>-1.2</v>
      </c>
      <c r="E87" s="4" t="e" cm="1">
        <f t="array" aca="1" ref="E87" ca="1">IF(ROWS(C$18:C87)&gt;E$8-E$7+1,
   NA(),
   IF(OR(E$7="",E$8="",E$7=E$8),
      NA(),
      (INDIRECT(ADDRESS(E$7+ROWS($B$18:C87)-1,COLUMN(INDIRECT(E$9&amp;1)),,,E$6))-E$10)/(E$11-E$10)*(E$13-E$12))*IF(E$14&lt;&gt;"",E$14,1))</f>
        <v>#VALUE!</v>
      </c>
      <c r="F87" s="4" cm="1">
        <f t="array" aca="1" ref="F87" ca="1">IF(ROWS(D$18:D87)&gt;F$8-F$7+1,
   NA(),
   IF(OR(F$7="",F$8="",F$7=F$8),
      NA(),
      (INDIRECT(ADDRESS(F$7+ROWS($B$18:D87)-1,COLUMN(INDIRECT(F$9&amp;1)),,,F$6))-F$10)/(F$11-F$10)*(F$13-F$12))*IF(F$14&lt;&gt;"",F$14,1))</f>
        <v>4.9560546875</v>
      </c>
      <c r="I87" s="3" t="e" cm="1">
        <f t="array" aca="1" ref="I87" ca="1">IF(ROWS(G$18:G87)&gt;I$8-I$7+1,
   NA(),
   IF(OR(I$7="",I$8="",I$7=I$8),
      NA(),
      (INDIRECT(ADDRESS(I$7+ROWS($B$18:G87)-1,COLUMN(INDIRECT(I$9&amp;1)),,,I$6))-I$10)/(I$11-I$10)*(I$13-I$12))*IF(I$14&lt;&gt;"",I$14,1))</f>
        <v>#N/A</v>
      </c>
      <c r="J87" s="4" t="e" cm="1">
        <f t="array" aca="1" ref="J87" ca="1">IF(ROWS(H$18:H87)&gt;J$8-J$7+1,
   NA(),
   IF(OR(J$7="",J$8="",J$7=J$8),
      NA(),
      (INDIRECT(ADDRESS(J$7+ROWS($B$18:H87)-1,COLUMN(INDIRECT(J$9&amp;1)),,,J$6))-J$10)/(J$11-J$10)*(J$13-J$12))*IF(J$14&lt;&gt;"",J$14,1))</f>
        <v>#N/A</v>
      </c>
      <c r="K87" s="4" t="e" cm="1">
        <f t="array" aca="1" ref="K87" ca="1">IF(ROWS(I$18:I87)&gt;K$8-K$7+1,
   NA(),
   IF(OR(K$7="",K$8="",K$7=K$8),
      NA(),
      (INDIRECT(ADDRESS(K$7+ROWS($B$18:I87)-1,COLUMN(INDIRECT(K$9&amp;1)),,,K$6))-K$10)/(K$11-K$10)*(K$13-K$12))*IF(K$14&lt;&gt;"",K$14,1))</f>
        <v>#N/A</v>
      </c>
      <c r="L87" s="4" t="e" cm="1">
        <f t="array" aca="1" ref="L87" ca="1">IF(ROWS(J$18:J87)&gt;L$8-L$7+1,
   NA(),
   IF(OR(L$7="",L$8="",L$7=L$8),
      NA(),
      (INDIRECT(ADDRESS(L$7+ROWS($B$18:J87)-1,COLUMN(INDIRECT(L$9&amp;1)),,,L$6))-L$10)/(L$11-L$10)*(L$13-L$12))*IF(L$14&lt;&gt;"",L$14,1))</f>
        <v>#N/A</v>
      </c>
    </row>
    <row r="88" spans="3:12" x14ac:dyDescent="0.2">
      <c r="C88" s="3" cm="1">
        <f t="array" aca="1" ref="C88" ca="1">IF(ROWS(A$18:A88)&gt;C$8-C$7+1,
   NA(),
   IF(OR(C$7="",C$8="",C$7=C$8),
      NA(),
      (INDIRECT(ADDRESS(C$7+ROWS(A$18:$B88)-1,COLUMN(INDIRECT(C$9&amp;1)),,,C$6))-C$10)/(C$11-C$10)*(C$13-C$12))*IF(C$14&lt;&gt;"",C$14,1))</f>
        <v>46295.945717592593</v>
      </c>
      <c r="D88" s="4" cm="1">
        <f t="array" aca="1" ref="D88" ca="1">IF(ROWS(B$18:B88)&gt;D$8-D$7+1,
   NA(),
   IF(OR(D$7="",D$8="",D$7=D$8),
      NA(),
      (INDIRECT(ADDRESS(D$7+ROWS($B$18:B88)-1,COLUMN(INDIRECT(D$9&amp;1)),,,D$6))-D$10)/(D$11-D$10)*(D$13-D$12))*IF(D$14&lt;&gt;"",D$14,1))</f>
        <v>-1.3</v>
      </c>
      <c r="E88" s="4" t="e" cm="1">
        <f t="array" aca="1" ref="E88" ca="1">IF(ROWS(C$18:C88)&gt;E$8-E$7+1,
   NA(),
   IF(OR(E$7="",E$8="",E$7=E$8),
      NA(),
      (INDIRECT(ADDRESS(E$7+ROWS($B$18:C88)-1,COLUMN(INDIRECT(E$9&amp;1)),,,E$6))-E$10)/(E$11-E$10)*(E$13-E$12))*IF(E$14&lt;&gt;"",E$14,1))</f>
        <v>#VALUE!</v>
      </c>
      <c r="F88" s="4" cm="1">
        <f t="array" aca="1" ref="F88" ca="1">IF(ROWS(D$18:D88)&gt;F$8-F$7+1,
   NA(),
   IF(OR(F$7="",F$8="",F$7=F$8),
      NA(),
      (INDIRECT(ADDRESS(F$7+ROWS($B$18:D88)-1,COLUMN(INDIRECT(F$9&amp;1)),,,F$6))-F$10)/(F$11-F$10)*(F$13-F$12))*IF(F$14&lt;&gt;"",F$14,1))</f>
        <v>0.9735107421875</v>
      </c>
      <c r="I88" s="3" t="e" cm="1">
        <f t="array" aca="1" ref="I88" ca="1">IF(ROWS(G$18:G88)&gt;I$8-I$7+1,
   NA(),
   IF(OR(I$7="",I$8="",I$7=I$8),
      NA(),
      (INDIRECT(ADDRESS(I$7+ROWS($B$18:G88)-1,COLUMN(INDIRECT(I$9&amp;1)),,,I$6))-I$10)/(I$11-I$10)*(I$13-I$12))*IF(I$14&lt;&gt;"",I$14,1))</f>
        <v>#N/A</v>
      </c>
      <c r="J88" s="4" t="e" cm="1">
        <f t="array" aca="1" ref="J88" ca="1">IF(ROWS(H$18:H88)&gt;J$8-J$7+1,
   NA(),
   IF(OR(J$7="",J$8="",J$7=J$8),
      NA(),
      (INDIRECT(ADDRESS(J$7+ROWS($B$18:H88)-1,COLUMN(INDIRECT(J$9&amp;1)),,,J$6))-J$10)/(J$11-J$10)*(J$13-J$12))*IF(J$14&lt;&gt;"",J$14,1))</f>
        <v>#N/A</v>
      </c>
      <c r="K88" s="4" t="e" cm="1">
        <f t="array" aca="1" ref="K88" ca="1">IF(ROWS(I$18:I88)&gt;K$8-K$7+1,
   NA(),
   IF(OR(K$7="",K$8="",K$7=K$8),
      NA(),
      (INDIRECT(ADDRESS(K$7+ROWS($B$18:I88)-1,COLUMN(INDIRECT(K$9&amp;1)),,,K$6))-K$10)/(K$11-K$10)*(K$13-K$12))*IF(K$14&lt;&gt;"",K$14,1))</f>
        <v>#N/A</v>
      </c>
      <c r="L88" s="4" t="e" cm="1">
        <f t="array" aca="1" ref="L88" ca="1">IF(ROWS(J$18:J88)&gt;L$8-L$7+1,
   NA(),
   IF(OR(L$7="",L$8="",L$7=L$8),
      NA(),
      (INDIRECT(ADDRESS(L$7+ROWS($B$18:J88)-1,COLUMN(INDIRECT(L$9&amp;1)),,,L$6))-L$10)/(L$11-L$10)*(L$13-L$12))*IF(L$14&lt;&gt;"",L$14,1))</f>
        <v>#N/A</v>
      </c>
    </row>
    <row r="89" spans="3:12" x14ac:dyDescent="0.2">
      <c r="C89" s="3" t="e" cm="1">
        <f t="array" aca="1" ref="C89" ca="1">IF(ROWS(A$18:A89)&gt;C$8-C$7+1,
   NA(),
   IF(OR(C$7="",C$8="",C$7=C$8),
      NA(),
      (INDIRECT(ADDRESS(C$7+ROWS(A$18:$B89)-1,COLUMN(INDIRECT(C$9&amp;1)),,,C$6))-C$10)/(C$11-C$10)*(C$13-C$12))*IF(C$14&lt;&gt;"",C$14,1))</f>
        <v>#N/A</v>
      </c>
      <c r="D89" s="4" t="e" cm="1">
        <f t="array" aca="1" ref="D89" ca="1">IF(ROWS(B$18:B89)&gt;D$8-D$7+1,
   NA(),
   IF(OR(D$7="",D$8="",D$7=D$8),
      NA(),
      (INDIRECT(ADDRESS(D$7+ROWS($B$18:B89)-1,COLUMN(INDIRECT(D$9&amp;1)),,,D$6))-D$10)/(D$11-D$10)*(D$13-D$12))*IF(D$14&lt;&gt;"",D$14,1))</f>
        <v>#N/A</v>
      </c>
      <c r="E89" s="4" t="e" cm="1">
        <f t="array" aca="1" ref="E89" ca="1">IF(ROWS(C$18:C89)&gt;E$8-E$7+1,
   NA(),
   IF(OR(E$7="",E$8="",E$7=E$8),
      NA(),
      (INDIRECT(ADDRESS(E$7+ROWS($B$18:C89)-1,COLUMN(INDIRECT(E$9&amp;1)),,,E$6))-E$10)/(E$11-E$10)*(E$13-E$12))*IF(E$14&lt;&gt;"",E$14,1))</f>
        <v>#N/A</v>
      </c>
      <c r="F89" s="4" t="e" cm="1">
        <f t="array" aca="1" ref="F89" ca="1">IF(ROWS(D$18:D89)&gt;F$8-F$7+1,
   NA(),
   IF(OR(F$7="",F$8="",F$7=F$8),
      NA(),
      (INDIRECT(ADDRESS(F$7+ROWS($B$18:D89)-1,COLUMN(INDIRECT(F$9&amp;1)),,,F$6))-F$10)/(F$11-F$10)*(F$13-F$12))*IF(F$14&lt;&gt;"",F$14,1))</f>
        <v>#N/A</v>
      </c>
      <c r="I89" s="3" t="e" cm="1">
        <f t="array" aca="1" ref="I89" ca="1">IF(ROWS(G$18:G89)&gt;I$8-I$7+1,
   NA(),
   IF(OR(I$7="",I$8="",I$7=I$8),
      NA(),
      (INDIRECT(ADDRESS(I$7+ROWS($B$18:G89)-1,COLUMN(INDIRECT(I$9&amp;1)),,,I$6))-I$10)/(I$11-I$10)*(I$13-I$12))*IF(I$14&lt;&gt;"",I$14,1))</f>
        <v>#N/A</v>
      </c>
      <c r="J89" s="4" t="e" cm="1">
        <f t="array" aca="1" ref="J89" ca="1">IF(ROWS(H$18:H89)&gt;J$8-J$7+1,
   NA(),
   IF(OR(J$7="",J$8="",J$7=J$8),
      NA(),
      (INDIRECT(ADDRESS(J$7+ROWS($B$18:H89)-1,COLUMN(INDIRECT(J$9&amp;1)),,,J$6))-J$10)/(J$11-J$10)*(J$13-J$12))*IF(J$14&lt;&gt;"",J$14,1))</f>
        <v>#N/A</v>
      </c>
      <c r="K89" s="4" t="e" cm="1">
        <f t="array" aca="1" ref="K89" ca="1">IF(ROWS(I$18:I89)&gt;K$8-K$7+1,
   NA(),
   IF(OR(K$7="",K$8="",K$7=K$8),
      NA(),
      (INDIRECT(ADDRESS(K$7+ROWS($B$18:I89)-1,COLUMN(INDIRECT(K$9&amp;1)),,,K$6))-K$10)/(K$11-K$10)*(K$13-K$12))*IF(K$14&lt;&gt;"",K$14,1))</f>
        <v>#N/A</v>
      </c>
      <c r="L89" s="4" t="e" cm="1">
        <f t="array" aca="1" ref="L89" ca="1">IF(ROWS(J$18:J89)&gt;L$8-L$7+1,
   NA(),
   IF(OR(L$7="",L$8="",L$7=L$8),
      NA(),
      (INDIRECT(ADDRESS(L$7+ROWS($B$18:J89)-1,COLUMN(INDIRECT(L$9&amp;1)),,,L$6))-L$10)/(L$11-L$10)*(L$13-L$12))*IF(L$14&lt;&gt;"",L$14,1))</f>
        <v>#N/A</v>
      </c>
    </row>
    <row r="90" spans="3:12" x14ac:dyDescent="0.2">
      <c r="C90" s="3" t="e" cm="1">
        <f t="array" aca="1" ref="C90" ca="1">IF(ROWS(A$18:A90)&gt;C$8-C$7+1,
   NA(),
   IF(OR(C$7="",C$8="",C$7=C$8),
      NA(),
      (INDIRECT(ADDRESS(C$7+ROWS(A$18:$B90)-1,COLUMN(INDIRECT(C$9&amp;1)),,,C$6))-C$10)/(C$11-C$10)*(C$13-C$12))*IF(C$14&lt;&gt;"",C$14,1))</f>
        <v>#N/A</v>
      </c>
      <c r="D90" s="4" t="e" cm="1">
        <f t="array" aca="1" ref="D90" ca="1">IF(ROWS(B$18:B90)&gt;D$8-D$7+1,
   NA(),
   IF(OR(D$7="",D$8="",D$7=D$8),
      NA(),
      (INDIRECT(ADDRESS(D$7+ROWS($B$18:B90)-1,COLUMN(INDIRECT(D$9&amp;1)),,,D$6))-D$10)/(D$11-D$10)*(D$13-D$12))*IF(D$14&lt;&gt;"",D$14,1))</f>
        <v>#N/A</v>
      </c>
      <c r="E90" s="4" t="e" cm="1">
        <f t="array" aca="1" ref="E90" ca="1">IF(ROWS(C$18:C90)&gt;E$8-E$7+1,
   NA(),
   IF(OR(E$7="",E$8="",E$7=E$8),
      NA(),
      (INDIRECT(ADDRESS(E$7+ROWS($B$18:C90)-1,COLUMN(INDIRECT(E$9&amp;1)),,,E$6))-E$10)/(E$11-E$10)*(E$13-E$12))*IF(E$14&lt;&gt;"",E$14,1))</f>
        <v>#N/A</v>
      </c>
      <c r="F90" s="4" t="e" cm="1">
        <f t="array" aca="1" ref="F90" ca="1">IF(ROWS(D$18:D90)&gt;F$8-F$7+1,
   NA(),
   IF(OR(F$7="",F$8="",F$7=F$8),
      NA(),
      (INDIRECT(ADDRESS(F$7+ROWS($B$18:D90)-1,COLUMN(INDIRECT(F$9&amp;1)),,,F$6))-F$10)/(F$11-F$10)*(F$13-F$12))*IF(F$14&lt;&gt;"",F$14,1))</f>
        <v>#N/A</v>
      </c>
      <c r="I90" s="3" t="e" cm="1">
        <f t="array" aca="1" ref="I90" ca="1">IF(ROWS(G$18:G90)&gt;I$8-I$7+1,
   NA(),
   IF(OR(I$7="",I$8="",I$7=I$8),
      NA(),
      (INDIRECT(ADDRESS(I$7+ROWS($B$18:G90)-1,COLUMN(INDIRECT(I$9&amp;1)),,,I$6))-I$10)/(I$11-I$10)*(I$13-I$12))*IF(I$14&lt;&gt;"",I$14,1))</f>
        <v>#N/A</v>
      </c>
      <c r="J90" s="4" t="e" cm="1">
        <f t="array" aca="1" ref="J90" ca="1">IF(ROWS(H$18:H90)&gt;J$8-J$7+1,
   NA(),
   IF(OR(J$7="",J$8="",J$7=J$8),
      NA(),
      (INDIRECT(ADDRESS(J$7+ROWS($B$18:H90)-1,COLUMN(INDIRECT(J$9&amp;1)),,,J$6))-J$10)/(J$11-J$10)*(J$13-J$12))*IF(J$14&lt;&gt;"",J$14,1))</f>
        <v>#N/A</v>
      </c>
      <c r="K90" s="4" t="e" cm="1">
        <f t="array" aca="1" ref="K90" ca="1">IF(ROWS(I$18:I90)&gt;K$8-K$7+1,
   NA(),
   IF(OR(K$7="",K$8="",K$7=K$8),
      NA(),
      (INDIRECT(ADDRESS(K$7+ROWS($B$18:I90)-1,COLUMN(INDIRECT(K$9&amp;1)),,,K$6))-K$10)/(K$11-K$10)*(K$13-K$12))*IF(K$14&lt;&gt;"",K$14,1))</f>
        <v>#N/A</v>
      </c>
      <c r="L90" s="4" t="e" cm="1">
        <f t="array" aca="1" ref="L90" ca="1">IF(ROWS(J$18:J90)&gt;L$8-L$7+1,
   NA(),
   IF(OR(L$7="",L$8="",L$7=L$8),
      NA(),
      (INDIRECT(ADDRESS(L$7+ROWS($B$18:J90)-1,COLUMN(INDIRECT(L$9&amp;1)),,,L$6))-L$10)/(L$11-L$10)*(L$13-L$12))*IF(L$14&lt;&gt;"",L$14,1))</f>
        <v>#N/A</v>
      </c>
    </row>
    <row r="91" spans="3:12" x14ac:dyDescent="0.2">
      <c r="C91" s="3" t="e" cm="1">
        <f t="array" aca="1" ref="C91" ca="1">IF(ROWS(A$18:A91)&gt;C$8-C$7+1,
   NA(),
   IF(OR(C$7="",C$8="",C$7=C$8),
      NA(),
      (INDIRECT(ADDRESS(C$7+ROWS(A$18:$B91)-1,COLUMN(INDIRECT(C$9&amp;1)),,,C$6))-C$10)/(C$11-C$10)*(C$13-C$12))*IF(C$14&lt;&gt;"",C$14,1))</f>
        <v>#N/A</v>
      </c>
      <c r="D91" s="4" t="e" cm="1">
        <f t="array" aca="1" ref="D91" ca="1">IF(ROWS(B$18:B91)&gt;D$8-D$7+1,
   NA(),
   IF(OR(D$7="",D$8="",D$7=D$8),
      NA(),
      (INDIRECT(ADDRESS(D$7+ROWS($B$18:B91)-1,COLUMN(INDIRECT(D$9&amp;1)),,,D$6))-D$10)/(D$11-D$10)*(D$13-D$12))*IF(D$14&lt;&gt;"",D$14,1))</f>
        <v>#N/A</v>
      </c>
      <c r="E91" s="4" t="e" cm="1">
        <f t="array" aca="1" ref="E91" ca="1">IF(ROWS(C$18:C91)&gt;E$8-E$7+1,
   NA(),
   IF(OR(E$7="",E$8="",E$7=E$8),
      NA(),
      (INDIRECT(ADDRESS(E$7+ROWS($B$18:C91)-1,COLUMN(INDIRECT(E$9&amp;1)),,,E$6))-E$10)/(E$11-E$10)*(E$13-E$12))*IF(E$14&lt;&gt;"",E$14,1))</f>
        <v>#N/A</v>
      </c>
      <c r="F91" s="4" t="e" cm="1">
        <f t="array" aca="1" ref="F91" ca="1">IF(ROWS(D$18:D91)&gt;F$8-F$7+1,
   NA(),
   IF(OR(F$7="",F$8="",F$7=F$8),
      NA(),
      (INDIRECT(ADDRESS(F$7+ROWS($B$18:D91)-1,COLUMN(INDIRECT(F$9&amp;1)),,,F$6))-F$10)/(F$11-F$10)*(F$13-F$12))*IF(F$14&lt;&gt;"",F$14,1))</f>
        <v>#N/A</v>
      </c>
      <c r="I91" s="3" t="e" cm="1">
        <f t="array" aca="1" ref="I91" ca="1">IF(ROWS(G$18:G91)&gt;I$8-I$7+1,
   NA(),
   IF(OR(I$7="",I$8="",I$7=I$8),
      NA(),
      (INDIRECT(ADDRESS(I$7+ROWS($B$18:G91)-1,COLUMN(INDIRECT(I$9&amp;1)),,,I$6))-I$10)/(I$11-I$10)*(I$13-I$12))*IF(I$14&lt;&gt;"",I$14,1))</f>
        <v>#N/A</v>
      </c>
      <c r="J91" s="4" t="e" cm="1">
        <f t="array" aca="1" ref="J91" ca="1">IF(ROWS(H$18:H91)&gt;J$8-J$7+1,
   NA(),
   IF(OR(J$7="",J$8="",J$7=J$8),
      NA(),
      (INDIRECT(ADDRESS(J$7+ROWS($B$18:H91)-1,COLUMN(INDIRECT(J$9&amp;1)),,,J$6))-J$10)/(J$11-J$10)*(J$13-J$12))*IF(J$14&lt;&gt;"",J$14,1))</f>
        <v>#N/A</v>
      </c>
      <c r="K91" s="4" t="e" cm="1">
        <f t="array" aca="1" ref="K91" ca="1">IF(ROWS(I$18:I91)&gt;K$8-K$7+1,
   NA(),
   IF(OR(K$7="",K$8="",K$7=K$8),
      NA(),
      (INDIRECT(ADDRESS(K$7+ROWS($B$18:I91)-1,COLUMN(INDIRECT(K$9&amp;1)),,,K$6))-K$10)/(K$11-K$10)*(K$13-K$12))*IF(K$14&lt;&gt;"",K$14,1))</f>
        <v>#N/A</v>
      </c>
      <c r="L91" s="4" t="e" cm="1">
        <f t="array" aca="1" ref="L91" ca="1">IF(ROWS(J$18:J91)&gt;L$8-L$7+1,
   NA(),
   IF(OR(L$7="",L$8="",L$7=L$8),
      NA(),
      (INDIRECT(ADDRESS(L$7+ROWS($B$18:J91)-1,COLUMN(INDIRECT(L$9&amp;1)),,,L$6))-L$10)/(L$11-L$10)*(L$13-L$12))*IF(L$14&lt;&gt;"",L$14,1))</f>
        <v>#N/A</v>
      </c>
    </row>
    <row r="92" spans="3:12" x14ac:dyDescent="0.2">
      <c r="C92" s="3" t="e" cm="1">
        <f t="array" aca="1" ref="C92" ca="1">IF(ROWS(A$18:A92)&gt;C$8-C$7+1,
   NA(),
   IF(OR(C$7="",C$8="",C$7=C$8),
      NA(),
      (INDIRECT(ADDRESS(C$7+ROWS(A$18:$B92)-1,COLUMN(INDIRECT(C$9&amp;1)),,,C$6))-C$10)/(C$11-C$10)*(C$13-C$12))*IF(C$14&lt;&gt;"",C$14,1))</f>
        <v>#N/A</v>
      </c>
      <c r="D92" s="4" t="e" cm="1">
        <f t="array" aca="1" ref="D92" ca="1">IF(ROWS(B$18:B92)&gt;D$8-D$7+1,
   NA(),
   IF(OR(D$7="",D$8="",D$7=D$8),
      NA(),
      (INDIRECT(ADDRESS(D$7+ROWS($B$18:B92)-1,COLUMN(INDIRECT(D$9&amp;1)),,,D$6))-D$10)/(D$11-D$10)*(D$13-D$12))*IF(D$14&lt;&gt;"",D$14,1))</f>
        <v>#N/A</v>
      </c>
      <c r="E92" s="4" t="e" cm="1">
        <f t="array" aca="1" ref="E92" ca="1">IF(ROWS(C$18:C92)&gt;E$8-E$7+1,
   NA(),
   IF(OR(E$7="",E$8="",E$7=E$8),
      NA(),
      (INDIRECT(ADDRESS(E$7+ROWS($B$18:C92)-1,COLUMN(INDIRECT(E$9&amp;1)),,,E$6))-E$10)/(E$11-E$10)*(E$13-E$12))*IF(E$14&lt;&gt;"",E$14,1))</f>
        <v>#N/A</v>
      </c>
      <c r="F92" s="4" t="e" cm="1">
        <f t="array" aca="1" ref="F92" ca="1">IF(ROWS(D$18:D92)&gt;F$8-F$7+1,
   NA(),
   IF(OR(F$7="",F$8="",F$7=F$8),
      NA(),
      (INDIRECT(ADDRESS(F$7+ROWS($B$18:D92)-1,COLUMN(INDIRECT(F$9&amp;1)),,,F$6))-F$10)/(F$11-F$10)*(F$13-F$12))*IF(F$14&lt;&gt;"",F$14,1))</f>
        <v>#N/A</v>
      </c>
      <c r="I92" s="3" t="e" cm="1">
        <f t="array" aca="1" ref="I92" ca="1">IF(ROWS(G$18:G92)&gt;I$8-I$7+1,
   NA(),
   IF(OR(I$7="",I$8="",I$7=I$8),
      NA(),
      (INDIRECT(ADDRESS(I$7+ROWS($B$18:G92)-1,COLUMN(INDIRECT(I$9&amp;1)),,,I$6))-I$10)/(I$11-I$10)*(I$13-I$12))*IF(I$14&lt;&gt;"",I$14,1))</f>
        <v>#N/A</v>
      </c>
      <c r="J92" s="4" t="e" cm="1">
        <f t="array" aca="1" ref="J92" ca="1">IF(ROWS(H$18:H92)&gt;J$8-J$7+1,
   NA(),
   IF(OR(J$7="",J$8="",J$7=J$8),
      NA(),
      (INDIRECT(ADDRESS(J$7+ROWS($B$18:H92)-1,COLUMN(INDIRECT(J$9&amp;1)),,,J$6))-J$10)/(J$11-J$10)*(J$13-J$12))*IF(J$14&lt;&gt;"",J$14,1))</f>
        <v>#N/A</v>
      </c>
      <c r="K92" s="4" t="e" cm="1">
        <f t="array" aca="1" ref="K92" ca="1">IF(ROWS(I$18:I92)&gt;K$8-K$7+1,
   NA(),
   IF(OR(K$7="",K$8="",K$7=K$8),
      NA(),
      (INDIRECT(ADDRESS(K$7+ROWS($B$18:I92)-1,COLUMN(INDIRECT(K$9&amp;1)),,,K$6))-K$10)/(K$11-K$10)*(K$13-K$12))*IF(K$14&lt;&gt;"",K$14,1))</f>
        <v>#N/A</v>
      </c>
      <c r="L92" s="4" t="e" cm="1">
        <f t="array" aca="1" ref="L92" ca="1">IF(ROWS(J$18:J92)&gt;L$8-L$7+1,
   NA(),
   IF(OR(L$7="",L$8="",L$7=L$8),
      NA(),
      (INDIRECT(ADDRESS(L$7+ROWS($B$18:J92)-1,COLUMN(INDIRECT(L$9&amp;1)),,,L$6))-L$10)/(L$11-L$10)*(L$13-L$12))*IF(L$14&lt;&gt;"",L$14,1))</f>
        <v>#N/A</v>
      </c>
    </row>
    <row r="93" spans="3:12" x14ac:dyDescent="0.2">
      <c r="C93" s="3" t="e" cm="1">
        <f t="array" aca="1" ref="C93" ca="1">IF(ROWS(A$18:A93)&gt;C$8-C$7+1,
   NA(),
   IF(OR(C$7="",C$8="",C$7=C$8),
      NA(),
      (INDIRECT(ADDRESS(C$7+ROWS(A$18:$B93)-1,COLUMN(INDIRECT(C$9&amp;1)),,,C$6))-C$10)/(C$11-C$10)*(C$13-C$12))*IF(C$14&lt;&gt;"",C$14,1))</f>
        <v>#N/A</v>
      </c>
      <c r="D93" s="4" t="e" cm="1">
        <f t="array" aca="1" ref="D93" ca="1">IF(ROWS(B$18:B93)&gt;D$8-D$7+1,
   NA(),
   IF(OR(D$7="",D$8="",D$7=D$8),
      NA(),
      (INDIRECT(ADDRESS(D$7+ROWS($B$18:B93)-1,COLUMN(INDIRECT(D$9&amp;1)),,,D$6))-D$10)/(D$11-D$10)*(D$13-D$12))*IF(D$14&lt;&gt;"",D$14,1))</f>
        <v>#N/A</v>
      </c>
      <c r="E93" s="4" t="e" cm="1">
        <f t="array" aca="1" ref="E93" ca="1">IF(ROWS(C$18:C93)&gt;E$8-E$7+1,
   NA(),
   IF(OR(E$7="",E$8="",E$7=E$8),
      NA(),
      (INDIRECT(ADDRESS(E$7+ROWS($B$18:C93)-1,COLUMN(INDIRECT(E$9&amp;1)),,,E$6))-E$10)/(E$11-E$10)*(E$13-E$12))*IF(E$14&lt;&gt;"",E$14,1))</f>
        <v>#N/A</v>
      </c>
      <c r="F93" s="4" t="e" cm="1">
        <f t="array" aca="1" ref="F93" ca="1">IF(ROWS(D$18:D93)&gt;F$8-F$7+1,
   NA(),
   IF(OR(F$7="",F$8="",F$7=F$8),
      NA(),
      (INDIRECT(ADDRESS(F$7+ROWS($B$18:D93)-1,COLUMN(INDIRECT(F$9&amp;1)),,,F$6))-F$10)/(F$11-F$10)*(F$13-F$12))*IF(F$14&lt;&gt;"",F$14,1))</f>
        <v>#N/A</v>
      </c>
      <c r="I93" s="3" t="e" cm="1">
        <f t="array" aca="1" ref="I93" ca="1">IF(ROWS(G$18:G93)&gt;I$8-I$7+1,
   NA(),
   IF(OR(I$7="",I$8="",I$7=I$8),
      NA(),
      (INDIRECT(ADDRESS(I$7+ROWS($B$18:G93)-1,COLUMN(INDIRECT(I$9&amp;1)),,,I$6))-I$10)/(I$11-I$10)*(I$13-I$12))*IF(I$14&lt;&gt;"",I$14,1))</f>
        <v>#N/A</v>
      </c>
      <c r="J93" s="4" t="e" cm="1">
        <f t="array" aca="1" ref="J93" ca="1">IF(ROWS(H$18:H93)&gt;J$8-J$7+1,
   NA(),
   IF(OR(J$7="",J$8="",J$7=J$8),
      NA(),
      (INDIRECT(ADDRESS(J$7+ROWS($B$18:H93)-1,COLUMN(INDIRECT(J$9&amp;1)),,,J$6))-J$10)/(J$11-J$10)*(J$13-J$12))*IF(J$14&lt;&gt;"",J$14,1))</f>
        <v>#N/A</v>
      </c>
      <c r="K93" s="4" t="e" cm="1">
        <f t="array" aca="1" ref="K93" ca="1">IF(ROWS(I$18:I93)&gt;K$8-K$7+1,
   NA(),
   IF(OR(K$7="",K$8="",K$7=K$8),
      NA(),
      (INDIRECT(ADDRESS(K$7+ROWS($B$18:I93)-1,COLUMN(INDIRECT(K$9&amp;1)),,,K$6))-K$10)/(K$11-K$10)*(K$13-K$12))*IF(K$14&lt;&gt;"",K$14,1))</f>
        <v>#N/A</v>
      </c>
      <c r="L93" s="4" t="e" cm="1">
        <f t="array" aca="1" ref="L93" ca="1">IF(ROWS(J$18:J93)&gt;L$8-L$7+1,
   NA(),
   IF(OR(L$7="",L$8="",L$7=L$8),
      NA(),
      (INDIRECT(ADDRESS(L$7+ROWS($B$18:J93)-1,COLUMN(INDIRECT(L$9&amp;1)),,,L$6))-L$10)/(L$11-L$10)*(L$13-L$12))*IF(L$14&lt;&gt;"",L$14,1))</f>
        <v>#N/A</v>
      </c>
    </row>
    <row r="94" spans="3:12" x14ac:dyDescent="0.2">
      <c r="C94" s="3" t="e" cm="1">
        <f t="array" aca="1" ref="C94" ca="1">IF(ROWS(A$18:A94)&gt;C$8-C$7+1,
   NA(),
   IF(OR(C$7="",C$8="",C$7=C$8),
      NA(),
      (INDIRECT(ADDRESS(C$7+ROWS(A$18:$B94)-1,COLUMN(INDIRECT(C$9&amp;1)),,,C$6))-C$10)/(C$11-C$10)*(C$13-C$12))*IF(C$14&lt;&gt;"",C$14,1))</f>
        <v>#N/A</v>
      </c>
      <c r="D94" s="4" t="e" cm="1">
        <f t="array" aca="1" ref="D94" ca="1">IF(ROWS(B$18:B94)&gt;D$8-D$7+1,
   NA(),
   IF(OR(D$7="",D$8="",D$7=D$8),
      NA(),
      (INDIRECT(ADDRESS(D$7+ROWS($B$18:B94)-1,COLUMN(INDIRECT(D$9&amp;1)),,,D$6))-D$10)/(D$11-D$10)*(D$13-D$12))*IF(D$14&lt;&gt;"",D$14,1))</f>
        <v>#N/A</v>
      </c>
      <c r="E94" s="4" t="e" cm="1">
        <f t="array" aca="1" ref="E94" ca="1">IF(ROWS(C$18:C94)&gt;E$8-E$7+1,
   NA(),
   IF(OR(E$7="",E$8="",E$7=E$8),
      NA(),
      (INDIRECT(ADDRESS(E$7+ROWS($B$18:C94)-1,COLUMN(INDIRECT(E$9&amp;1)),,,E$6))-E$10)/(E$11-E$10)*(E$13-E$12))*IF(E$14&lt;&gt;"",E$14,1))</f>
        <v>#N/A</v>
      </c>
      <c r="F94" s="4" t="e" cm="1">
        <f t="array" aca="1" ref="F94" ca="1">IF(ROWS(D$18:D94)&gt;F$8-F$7+1,
   NA(),
   IF(OR(F$7="",F$8="",F$7=F$8),
      NA(),
      (INDIRECT(ADDRESS(F$7+ROWS($B$18:D94)-1,COLUMN(INDIRECT(F$9&amp;1)),,,F$6))-F$10)/(F$11-F$10)*(F$13-F$12))*IF(F$14&lt;&gt;"",F$14,1))</f>
        <v>#N/A</v>
      </c>
      <c r="I94" s="3" t="e" cm="1">
        <f t="array" aca="1" ref="I94" ca="1">IF(ROWS(G$18:G94)&gt;I$8-I$7+1,
   NA(),
   IF(OR(I$7="",I$8="",I$7=I$8),
      NA(),
      (INDIRECT(ADDRESS(I$7+ROWS($B$18:G94)-1,COLUMN(INDIRECT(I$9&amp;1)),,,I$6))-I$10)/(I$11-I$10)*(I$13-I$12))*IF(I$14&lt;&gt;"",I$14,1))</f>
        <v>#N/A</v>
      </c>
      <c r="J94" s="4" t="e" cm="1">
        <f t="array" aca="1" ref="J94" ca="1">IF(ROWS(H$18:H94)&gt;J$8-J$7+1,
   NA(),
   IF(OR(J$7="",J$8="",J$7=J$8),
      NA(),
      (INDIRECT(ADDRESS(J$7+ROWS($B$18:H94)-1,COLUMN(INDIRECT(J$9&amp;1)),,,J$6))-J$10)/(J$11-J$10)*(J$13-J$12))*IF(J$14&lt;&gt;"",J$14,1))</f>
        <v>#N/A</v>
      </c>
      <c r="K94" s="4" t="e" cm="1">
        <f t="array" aca="1" ref="K94" ca="1">IF(ROWS(I$18:I94)&gt;K$8-K$7+1,
   NA(),
   IF(OR(K$7="",K$8="",K$7=K$8),
      NA(),
      (INDIRECT(ADDRESS(K$7+ROWS($B$18:I94)-1,COLUMN(INDIRECT(K$9&amp;1)),,,K$6))-K$10)/(K$11-K$10)*(K$13-K$12))*IF(K$14&lt;&gt;"",K$14,1))</f>
        <v>#N/A</v>
      </c>
      <c r="L94" s="4" t="e" cm="1">
        <f t="array" aca="1" ref="L94" ca="1">IF(ROWS(J$18:J94)&gt;L$8-L$7+1,
   NA(),
   IF(OR(L$7="",L$8="",L$7=L$8),
      NA(),
      (INDIRECT(ADDRESS(L$7+ROWS($B$18:J94)-1,COLUMN(INDIRECT(L$9&amp;1)),,,L$6))-L$10)/(L$11-L$10)*(L$13-L$12))*IF(L$14&lt;&gt;"",L$14,1))</f>
        <v>#N/A</v>
      </c>
    </row>
    <row r="95" spans="3:12" x14ac:dyDescent="0.2">
      <c r="C95" s="3" t="e" cm="1">
        <f t="array" aca="1" ref="C95" ca="1">IF(ROWS(A$18:A95)&gt;C$8-C$7+1,
   NA(),
   IF(OR(C$7="",C$8="",C$7=C$8),
      NA(),
      (INDIRECT(ADDRESS(C$7+ROWS(A$18:$B95)-1,COLUMN(INDIRECT(C$9&amp;1)),,,C$6))-C$10)/(C$11-C$10)*(C$13-C$12))*IF(C$14&lt;&gt;"",C$14,1))</f>
        <v>#N/A</v>
      </c>
      <c r="D95" s="4" t="e" cm="1">
        <f t="array" aca="1" ref="D95" ca="1">IF(ROWS(B$18:B95)&gt;D$8-D$7+1,
   NA(),
   IF(OR(D$7="",D$8="",D$7=D$8),
      NA(),
      (INDIRECT(ADDRESS(D$7+ROWS($B$18:B95)-1,COLUMN(INDIRECT(D$9&amp;1)),,,D$6))-D$10)/(D$11-D$10)*(D$13-D$12))*IF(D$14&lt;&gt;"",D$14,1))</f>
        <v>#N/A</v>
      </c>
      <c r="E95" s="4" t="e" cm="1">
        <f t="array" aca="1" ref="E95" ca="1">IF(ROWS(C$18:C95)&gt;E$8-E$7+1,
   NA(),
   IF(OR(E$7="",E$8="",E$7=E$8),
      NA(),
      (INDIRECT(ADDRESS(E$7+ROWS($B$18:C95)-1,COLUMN(INDIRECT(E$9&amp;1)),,,E$6))-E$10)/(E$11-E$10)*(E$13-E$12))*IF(E$14&lt;&gt;"",E$14,1))</f>
        <v>#N/A</v>
      </c>
      <c r="F95" s="4" t="e" cm="1">
        <f t="array" aca="1" ref="F95" ca="1">IF(ROWS(D$18:D95)&gt;F$8-F$7+1,
   NA(),
   IF(OR(F$7="",F$8="",F$7=F$8),
      NA(),
      (INDIRECT(ADDRESS(F$7+ROWS($B$18:D95)-1,COLUMN(INDIRECT(F$9&amp;1)),,,F$6))-F$10)/(F$11-F$10)*(F$13-F$12))*IF(F$14&lt;&gt;"",F$14,1))</f>
        <v>#N/A</v>
      </c>
      <c r="I95" s="3" t="e" cm="1">
        <f t="array" aca="1" ref="I95" ca="1">IF(ROWS(G$18:G95)&gt;I$8-I$7+1,
   NA(),
   IF(OR(I$7="",I$8="",I$7=I$8),
      NA(),
      (INDIRECT(ADDRESS(I$7+ROWS($B$18:G95)-1,COLUMN(INDIRECT(I$9&amp;1)),,,I$6))-I$10)/(I$11-I$10)*(I$13-I$12))*IF(I$14&lt;&gt;"",I$14,1))</f>
        <v>#N/A</v>
      </c>
      <c r="J95" s="4" t="e" cm="1">
        <f t="array" aca="1" ref="J95" ca="1">IF(ROWS(H$18:H95)&gt;J$8-J$7+1,
   NA(),
   IF(OR(J$7="",J$8="",J$7=J$8),
      NA(),
      (INDIRECT(ADDRESS(J$7+ROWS($B$18:H95)-1,COLUMN(INDIRECT(J$9&amp;1)),,,J$6))-J$10)/(J$11-J$10)*(J$13-J$12))*IF(J$14&lt;&gt;"",J$14,1))</f>
        <v>#N/A</v>
      </c>
      <c r="K95" s="4" t="e" cm="1">
        <f t="array" aca="1" ref="K95" ca="1">IF(ROWS(I$18:I95)&gt;K$8-K$7+1,
   NA(),
   IF(OR(K$7="",K$8="",K$7=K$8),
      NA(),
      (INDIRECT(ADDRESS(K$7+ROWS($B$18:I95)-1,COLUMN(INDIRECT(K$9&amp;1)),,,K$6))-K$10)/(K$11-K$10)*(K$13-K$12))*IF(K$14&lt;&gt;"",K$14,1))</f>
        <v>#N/A</v>
      </c>
      <c r="L95" s="4" t="e" cm="1">
        <f t="array" aca="1" ref="L95" ca="1">IF(ROWS(J$18:J95)&gt;L$8-L$7+1,
   NA(),
   IF(OR(L$7="",L$8="",L$7=L$8),
      NA(),
      (INDIRECT(ADDRESS(L$7+ROWS($B$18:J95)-1,COLUMN(INDIRECT(L$9&amp;1)),,,L$6))-L$10)/(L$11-L$10)*(L$13-L$12))*IF(L$14&lt;&gt;"",L$14,1))</f>
        <v>#N/A</v>
      </c>
    </row>
    <row r="96" spans="3:12" x14ac:dyDescent="0.2">
      <c r="C96" s="3" t="e" cm="1">
        <f t="array" aca="1" ref="C96" ca="1">IF(ROWS(A$18:A96)&gt;C$8-C$7+1,
   NA(),
   IF(OR(C$7="",C$8="",C$7=C$8),
      NA(),
      (INDIRECT(ADDRESS(C$7+ROWS(A$18:$B96)-1,COLUMN(INDIRECT(C$9&amp;1)),,,C$6))-C$10)/(C$11-C$10)*(C$13-C$12))*IF(C$14&lt;&gt;"",C$14,1))</f>
        <v>#N/A</v>
      </c>
      <c r="D96" s="4" t="e" cm="1">
        <f t="array" aca="1" ref="D96" ca="1">IF(ROWS(B$18:B96)&gt;D$8-D$7+1,
   NA(),
   IF(OR(D$7="",D$8="",D$7=D$8),
      NA(),
      (INDIRECT(ADDRESS(D$7+ROWS($B$18:B96)-1,COLUMN(INDIRECT(D$9&amp;1)),,,D$6))-D$10)/(D$11-D$10)*(D$13-D$12))*IF(D$14&lt;&gt;"",D$14,1))</f>
        <v>#N/A</v>
      </c>
      <c r="E96" s="4" t="e" cm="1">
        <f t="array" aca="1" ref="E96" ca="1">IF(ROWS(C$18:C96)&gt;E$8-E$7+1,
   NA(),
   IF(OR(E$7="",E$8="",E$7=E$8),
      NA(),
      (INDIRECT(ADDRESS(E$7+ROWS($B$18:C96)-1,COLUMN(INDIRECT(E$9&amp;1)),,,E$6))-E$10)/(E$11-E$10)*(E$13-E$12))*IF(E$14&lt;&gt;"",E$14,1))</f>
        <v>#N/A</v>
      </c>
      <c r="F96" s="4" t="e" cm="1">
        <f t="array" aca="1" ref="F96" ca="1">IF(ROWS(D$18:D96)&gt;F$8-F$7+1,
   NA(),
   IF(OR(F$7="",F$8="",F$7=F$8),
      NA(),
      (INDIRECT(ADDRESS(F$7+ROWS($B$18:D96)-1,COLUMN(INDIRECT(F$9&amp;1)),,,F$6))-F$10)/(F$11-F$10)*(F$13-F$12))*IF(F$14&lt;&gt;"",F$14,1))</f>
        <v>#N/A</v>
      </c>
      <c r="I96" s="3" t="e" cm="1">
        <f t="array" aca="1" ref="I96" ca="1">IF(ROWS(G$18:G96)&gt;I$8-I$7+1,
   NA(),
   IF(OR(I$7="",I$8="",I$7=I$8),
      NA(),
      (INDIRECT(ADDRESS(I$7+ROWS($B$18:G96)-1,COLUMN(INDIRECT(I$9&amp;1)),,,I$6))-I$10)/(I$11-I$10)*(I$13-I$12))*IF(I$14&lt;&gt;"",I$14,1))</f>
        <v>#N/A</v>
      </c>
      <c r="J96" s="4" t="e" cm="1">
        <f t="array" aca="1" ref="J96" ca="1">IF(ROWS(H$18:H96)&gt;J$8-J$7+1,
   NA(),
   IF(OR(J$7="",J$8="",J$7=J$8),
      NA(),
      (INDIRECT(ADDRESS(J$7+ROWS($B$18:H96)-1,COLUMN(INDIRECT(J$9&amp;1)),,,J$6))-J$10)/(J$11-J$10)*(J$13-J$12))*IF(J$14&lt;&gt;"",J$14,1))</f>
        <v>#N/A</v>
      </c>
      <c r="K96" s="4" t="e" cm="1">
        <f t="array" aca="1" ref="K96" ca="1">IF(ROWS(I$18:I96)&gt;K$8-K$7+1,
   NA(),
   IF(OR(K$7="",K$8="",K$7=K$8),
      NA(),
      (INDIRECT(ADDRESS(K$7+ROWS($B$18:I96)-1,COLUMN(INDIRECT(K$9&amp;1)),,,K$6))-K$10)/(K$11-K$10)*(K$13-K$12))*IF(K$14&lt;&gt;"",K$14,1))</f>
        <v>#N/A</v>
      </c>
      <c r="L96" s="4" t="e" cm="1">
        <f t="array" aca="1" ref="L96" ca="1">IF(ROWS(J$18:J96)&gt;L$8-L$7+1,
   NA(),
   IF(OR(L$7="",L$8="",L$7=L$8),
      NA(),
      (INDIRECT(ADDRESS(L$7+ROWS($B$18:J96)-1,COLUMN(INDIRECT(L$9&amp;1)),,,L$6))-L$10)/(L$11-L$10)*(L$13-L$12))*IF(L$14&lt;&gt;"",L$14,1))</f>
        <v>#N/A</v>
      </c>
    </row>
    <row r="97" spans="3:12" x14ac:dyDescent="0.2">
      <c r="C97" s="3" t="e" cm="1">
        <f t="array" aca="1" ref="C97" ca="1">IF(ROWS(A$18:A97)&gt;C$8-C$7+1,
   NA(),
   IF(OR(C$7="",C$8="",C$7=C$8),
      NA(),
      (INDIRECT(ADDRESS(C$7+ROWS(A$18:$B97)-1,COLUMN(INDIRECT(C$9&amp;1)),,,C$6))-C$10)/(C$11-C$10)*(C$13-C$12))*IF(C$14&lt;&gt;"",C$14,1))</f>
        <v>#N/A</v>
      </c>
      <c r="D97" s="4" t="e" cm="1">
        <f t="array" aca="1" ref="D97" ca="1">IF(ROWS(B$18:B97)&gt;D$8-D$7+1,
   NA(),
   IF(OR(D$7="",D$8="",D$7=D$8),
      NA(),
      (INDIRECT(ADDRESS(D$7+ROWS($B$18:B97)-1,COLUMN(INDIRECT(D$9&amp;1)),,,D$6))-D$10)/(D$11-D$10)*(D$13-D$12))*IF(D$14&lt;&gt;"",D$14,1))</f>
        <v>#N/A</v>
      </c>
      <c r="E97" s="4" t="e" cm="1">
        <f t="array" aca="1" ref="E97" ca="1">IF(ROWS(C$18:C97)&gt;E$8-E$7+1,
   NA(),
   IF(OR(E$7="",E$8="",E$7=E$8),
      NA(),
      (INDIRECT(ADDRESS(E$7+ROWS($B$18:C97)-1,COLUMN(INDIRECT(E$9&amp;1)),,,E$6))-E$10)/(E$11-E$10)*(E$13-E$12))*IF(E$14&lt;&gt;"",E$14,1))</f>
        <v>#N/A</v>
      </c>
      <c r="F97" s="4" t="e" cm="1">
        <f t="array" aca="1" ref="F97" ca="1">IF(ROWS(D$18:D97)&gt;F$8-F$7+1,
   NA(),
   IF(OR(F$7="",F$8="",F$7=F$8),
      NA(),
      (INDIRECT(ADDRESS(F$7+ROWS($B$18:D97)-1,COLUMN(INDIRECT(F$9&amp;1)),,,F$6))-F$10)/(F$11-F$10)*(F$13-F$12))*IF(F$14&lt;&gt;"",F$14,1))</f>
        <v>#N/A</v>
      </c>
      <c r="I97" s="3" t="e" cm="1">
        <f t="array" aca="1" ref="I97" ca="1">IF(ROWS(G$18:G97)&gt;I$8-I$7+1,
   NA(),
   IF(OR(I$7="",I$8="",I$7=I$8),
      NA(),
      (INDIRECT(ADDRESS(I$7+ROWS($B$18:G97)-1,COLUMN(INDIRECT(I$9&amp;1)),,,I$6))-I$10)/(I$11-I$10)*(I$13-I$12))*IF(I$14&lt;&gt;"",I$14,1))</f>
        <v>#N/A</v>
      </c>
      <c r="J97" s="4" t="e" cm="1">
        <f t="array" aca="1" ref="J97" ca="1">IF(ROWS(H$18:H97)&gt;J$8-J$7+1,
   NA(),
   IF(OR(J$7="",J$8="",J$7=J$8),
      NA(),
      (INDIRECT(ADDRESS(J$7+ROWS($B$18:H97)-1,COLUMN(INDIRECT(J$9&amp;1)),,,J$6))-J$10)/(J$11-J$10)*(J$13-J$12))*IF(J$14&lt;&gt;"",J$14,1))</f>
        <v>#N/A</v>
      </c>
      <c r="K97" s="4" t="e" cm="1">
        <f t="array" aca="1" ref="K97" ca="1">IF(ROWS(I$18:I97)&gt;K$8-K$7+1,
   NA(),
   IF(OR(K$7="",K$8="",K$7=K$8),
      NA(),
      (INDIRECT(ADDRESS(K$7+ROWS($B$18:I97)-1,COLUMN(INDIRECT(K$9&amp;1)),,,K$6))-K$10)/(K$11-K$10)*(K$13-K$12))*IF(K$14&lt;&gt;"",K$14,1))</f>
        <v>#N/A</v>
      </c>
      <c r="L97" s="4" t="e" cm="1">
        <f t="array" aca="1" ref="L97" ca="1">IF(ROWS(J$18:J97)&gt;L$8-L$7+1,
   NA(),
   IF(OR(L$7="",L$8="",L$7=L$8),
      NA(),
      (INDIRECT(ADDRESS(L$7+ROWS($B$18:J97)-1,COLUMN(INDIRECT(L$9&amp;1)),,,L$6))-L$10)/(L$11-L$10)*(L$13-L$12))*IF(L$14&lt;&gt;"",L$14,1))</f>
        <v>#N/A</v>
      </c>
    </row>
    <row r="98" spans="3:12" x14ac:dyDescent="0.2">
      <c r="C98" s="3" t="e" cm="1">
        <f t="array" aca="1" ref="C98" ca="1">IF(ROWS(A$18:A98)&gt;C$8-C$7+1,
   NA(),
   IF(OR(C$7="",C$8="",C$7=C$8),
      NA(),
      (INDIRECT(ADDRESS(C$7+ROWS(A$18:$B98)-1,COLUMN(INDIRECT(C$9&amp;1)),,,C$6))-C$10)/(C$11-C$10)*(C$13-C$12))*IF(C$14&lt;&gt;"",C$14,1))</f>
        <v>#N/A</v>
      </c>
      <c r="D98" s="4" t="e" cm="1">
        <f t="array" aca="1" ref="D98" ca="1">IF(ROWS(B$18:B98)&gt;D$8-D$7+1,
   NA(),
   IF(OR(D$7="",D$8="",D$7=D$8),
      NA(),
      (INDIRECT(ADDRESS(D$7+ROWS($B$18:B98)-1,COLUMN(INDIRECT(D$9&amp;1)),,,D$6))-D$10)/(D$11-D$10)*(D$13-D$12))*IF(D$14&lt;&gt;"",D$14,1))</f>
        <v>#N/A</v>
      </c>
      <c r="E98" s="4" t="e" cm="1">
        <f t="array" aca="1" ref="E98" ca="1">IF(ROWS(C$18:C98)&gt;E$8-E$7+1,
   NA(),
   IF(OR(E$7="",E$8="",E$7=E$8),
      NA(),
      (INDIRECT(ADDRESS(E$7+ROWS($B$18:C98)-1,COLUMN(INDIRECT(E$9&amp;1)),,,E$6))-E$10)/(E$11-E$10)*(E$13-E$12))*IF(E$14&lt;&gt;"",E$14,1))</f>
        <v>#N/A</v>
      </c>
      <c r="F98" s="4" t="e" cm="1">
        <f t="array" aca="1" ref="F98" ca="1">IF(ROWS(D$18:D98)&gt;F$8-F$7+1,
   NA(),
   IF(OR(F$7="",F$8="",F$7=F$8),
      NA(),
      (INDIRECT(ADDRESS(F$7+ROWS($B$18:D98)-1,COLUMN(INDIRECT(F$9&amp;1)),,,F$6))-F$10)/(F$11-F$10)*(F$13-F$12))*IF(F$14&lt;&gt;"",F$14,1))</f>
        <v>#N/A</v>
      </c>
      <c r="I98" s="3" t="e" cm="1">
        <f t="array" aca="1" ref="I98" ca="1">IF(ROWS(G$18:G98)&gt;I$8-I$7+1,
   NA(),
   IF(OR(I$7="",I$8="",I$7=I$8),
      NA(),
      (INDIRECT(ADDRESS(I$7+ROWS($B$18:G98)-1,COLUMN(INDIRECT(I$9&amp;1)),,,I$6))-I$10)/(I$11-I$10)*(I$13-I$12))*IF(I$14&lt;&gt;"",I$14,1))</f>
        <v>#N/A</v>
      </c>
      <c r="J98" s="4" t="e" cm="1">
        <f t="array" aca="1" ref="J98" ca="1">IF(ROWS(H$18:H98)&gt;J$8-J$7+1,
   NA(),
   IF(OR(J$7="",J$8="",J$7=J$8),
      NA(),
      (INDIRECT(ADDRESS(J$7+ROWS($B$18:H98)-1,COLUMN(INDIRECT(J$9&amp;1)),,,J$6))-J$10)/(J$11-J$10)*(J$13-J$12))*IF(J$14&lt;&gt;"",J$14,1))</f>
        <v>#N/A</v>
      </c>
      <c r="K98" s="4" t="e" cm="1">
        <f t="array" aca="1" ref="K98" ca="1">IF(ROWS(I$18:I98)&gt;K$8-K$7+1,
   NA(),
   IF(OR(K$7="",K$8="",K$7=K$8),
      NA(),
      (INDIRECT(ADDRESS(K$7+ROWS($B$18:I98)-1,COLUMN(INDIRECT(K$9&amp;1)),,,K$6))-K$10)/(K$11-K$10)*(K$13-K$12))*IF(K$14&lt;&gt;"",K$14,1))</f>
        <v>#N/A</v>
      </c>
      <c r="L98" s="4" t="e" cm="1">
        <f t="array" aca="1" ref="L98" ca="1">IF(ROWS(J$18:J98)&gt;L$8-L$7+1,
   NA(),
   IF(OR(L$7="",L$8="",L$7=L$8),
      NA(),
      (INDIRECT(ADDRESS(L$7+ROWS($B$18:J98)-1,COLUMN(INDIRECT(L$9&amp;1)),,,L$6))-L$10)/(L$11-L$10)*(L$13-L$12))*IF(L$14&lt;&gt;"",L$14,1))</f>
        <v>#N/A</v>
      </c>
    </row>
    <row r="99" spans="3:12" x14ac:dyDescent="0.2">
      <c r="C99" s="3" t="e" cm="1">
        <f t="array" aca="1" ref="C99" ca="1">IF(ROWS(A$18:A99)&gt;C$8-C$7+1,
   NA(),
   IF(OR(C$7="",C$8="",C$7=C$8),
      NA(),
      (INDIRECT(ADDRESS(C$7+ROWS(A$18:$B99)-1,COLUMN(INDIRECT(C$9&amp;1)),,,C$6))-C$10)/(C$11-C$10)*(C$13-C$12))*IF(C$14&lt;&gt;"",C$14,1))</f>
        <v>#N/A</v>
      </c>
      <c r="D99" s="4" t="e" cm="1">
        <f t="array" aca="1" ref="D99" ca="1">IF(ROWS(B$18:B99)&gt;D$8-D$7+1,
   NA(),
   IF(OR(D$7="",D$8="",D$7=D$8),
      NA(),
      (INDIRECT(ADDRESS(D$7+ROWS($B$18:B99)-1,COLUMN(INDIRECT(D$9&amp;1)),,,D$6))-D$10)/(D$11-D$10)*(D$13-D$12))*IF(D$14&lt;&gt;"",D$14,1))</f>
        <v>#N/A</v>
      </c>
      <c r="E99" s="4" t="e" cm="1">
        <f t="array" aca="1" ref="E99" ca="1">IF(ROWS(C$18:C99)&gt;E$8-E$7+1,
   NA(),
   IF(OR(E$7="",E$8="",E$7=E$8),
      NA(),
      (INDIRECT(ADDRESS(E$7+ROWS($B$18:C99)-1,COLUMN(INDIRECT(E$9&amp;1)),,,E$6))-E$10)/(E$11-E$10)*(E$13-E$12))*IF(E$14&lt;&gt;"",E$14,1))</f>
        <v>#N/A</v>
      </c>
      <c r="F99" s="4" t="e" cm="1">
        <f t="array" aca="1" ref="F99" ca="1">IF(ROWS(D$18:D99)&gt;F$8-F$7+1,
   NA(),
   IF(OR(F$7="",F$8="",F$7=F$8),
      NA(),
      (INDIRECT(ADDRESS(F$7+ROWS($B$18:D99)-1,COLUMN(INDIRECT(F$9&amp;1)),,,F$6))-F$10)/(F$11-F$10)*(F$13-F$12))*IF(F$14&lt;&gt;"",F$14,1))</f>
        <v>#N/A</v>
      </c>
      <c r="I99" s="3" t="e" cm="1">
        <f t="array" aca="1" ref="I99" ca="1">IF(ROWS(G$18:G99)&gt;I$8-I$7+1,
   NA(),
   IF(OR(I$7="",I$8="",I$7=I$8),
      NA(),
      (INDIRECT(ADDRESS(I$7+ROWS($B$18:G99)-1,COLUMN(INDIRECT(I$9&amp;1)),,,I$6))-I$10)/(I$11-I$10)*(I$13-I$12))*IF(I$14&lt;&gt;"",I$14,1))</f>
        <v>#N/A</v>
      </c>
      <c r="J99" s="4" t="e" cm="1">
        <f t="array" aca="1" ref="J99" ca="1">IF(ROWS(H$18:H99)&gt;J$8-J$7+1,
   NA(),
   IF(OR(J$7="",J$8="",J$7=J$8),
      NA(),
      (INDIRECT(ADDRESS(J$7+ROWS($B$18:H99)-1,COLUMN(INDIRECT(J$9&amp;1)),,,J$6))-J$10)/(J$11-J$10)*(J$13-J$12))*IF(J$14&lt;&gt;"",J$14,1))</f>
        <v>#N/A</v>
      </c>
      <c r="K99" s="4" t="e" cm="1">
        <f t="array" aca="1" ref="K99" ca="1">IF(ROWS(I$18:I99)&gt;K$8-K$7+1,
   NA(),
   IF(OR(K$7="",K$8="",K$7=K$8),
      NA(),
      (INDIRECT(ADDRESS(K$7+ROWS($B$18:I99)-1,COLUMN(INDIRECT(K$9&amp;1)),,,K$6))-K$10)/(K$11-K$10)*(K$13-K$12))*IF(K$14&lt;&gt;"",K$14,1))</f>
        <v>#N/A</v>
      </c>
      <c r="L99" s="4" t="e" cm="1">
        <f t="array" aca="1" ref="L99" ca="1">IF(ROWS(J$18:J99)&gt;L$8-L$7+1,
   NA(),
   IF(OR(L$7="",L$8="",L$7=L$8),
      NA(),
      (INDIRECT(ADDRESS(L$7+ROWS($B$18:J99)-1,COLUMN(INDIRECT(L$9&amp;1)),,,L$6))-L$10)/(L$11-L$10)*(L$13-L$12))*IF(L$14&lt;&gt;"",L$14,1))</f>
        <v>#N/A</v>
      </c>
    </row>
    <row r="100" spans="3:12" x14ac:dyDescent="0.2">
      <c r="C100" s="3" t="e" cm="1">
        <f t="array" aca="1" ref="C100" ca="1">IF(ROWS(A$18:A100)&gt;C$8-C$7+1,
   NA(),
   IF(OR(C$7="",C$8="",C$7=C$8),
      NA(),
      (INDIRECT(ADDRESS(C$7+ROWS(A$18:$B100)-1,COLUMN(INDIRECT(C$9&amp;1)),,,C$6))-C$10)/(C$11-C$10)*(C$13-C$12))*IF(C$14&lt;&gt;"",C$14,1))</f>
        <v>#N/A</v>
      </c>
      <c r="D100" s="4" t="e" cm="1">
        <f t="array" aca="1" ref="D100" ca="1">IF(ROWS(B$18:B100)&gt;D$8-D$7+1,
   NA(),
   IF(OR(D$7="",D$8="",D$7=D$8),
      NA(),
      (INDIRECT(ADDRESS(D$7+ROWS($B$18:B100)-1,COLUMN(INDIRECT(D$9&amp;1)),,,D$6))-D$10)/(D$11-D$10)*(D$13-D$12))*IF(D$14&lt;&gt;"",D$14,1))</f>
        <v>#N/A</v>
      </c>
      <c r="E100" s="4" t="e" cm="1">
        <f t="array" aca="1" ref="E100" ca="1">IF(ROWS(C$18:C100)&gt;E$8-E$7+1,
   NA(),
   IF(OR(E$7="",E$8="",E$7=E$8),
      NA(),
      (INDIRECT(ADDRESS(E$7+ROWS($B$18:C100)-1,COLUMN(INDIRECT(E$9&amp;1)),,,E$6))-E$10)/(E$11-E$10)*(E$13-E$12))*IF(E$14&lt;&gt;"",E$14,1))</f>
        <v>#N/A</v>
      </c>
      <c r="F100" s="4" t="e" cm="1">
        <f t="array" aca="1" ref="F100" ca="1">IF(ROWS(D$18:D100)&gt;F$8-F$7+1,
   NA(),
   IF(OR(F$7="",F$8="",F$7=F$8),
      NA(),
      (INDIRECT(ADDRESS(F$7+ROWS($B$18:D100)-1,COLUMN(INDIRECT(F$9&amp;1)),,,F$6))-F$10)/(F$11-F$10)*(F$13-F$12))*IF(F$14&lt;&gt;"",F$14,1))</f>
        <v>#N/A</v>
      </c>
      <c r="I100" s="3" t="e" cm="1">
        <f t="array" aca="1" ref="I100" ca="1">IF(ROWS(G$18:G100)&gt;I$8-I$7+1,
   NA(),
   IF(OR(I$7="",I$8="",I$7=I$8),
      NA(),
      (INDIRECT(ADDRESS(I$7+ROWS($B$18:G100)-1,COLUMN(INDIRECT(I$9&amp;1)),,,I$6))-I$10)/(I$11-I$10)*(I$13-I$12))*IF(I$14&lt;&gt;"",I$14,1))</f>
        <v>#N/A</v>
      </c>
      <c r="J100" s="4" t="e" cm="1">
        <f t="array" aca="1" ref="J100" ca="1">IF(ROWS(H$18:H100)&gt;J$8-J$7+1,
   NA(),
   IF(OR(J$7="",J$8="",J$7=J$8),
      NA(),
      (INDIRECT(ADDRESS(J$7+ROWS($B$18:H100)-1,COLUMN(INDIRECT(J$9&amp;1)),,,J$6))-J$10)/(J$11-J$10)*(J$13-J$12))*IF(J$14&lt;&gt;"",J$14,1))</f>
        <v>#N/A</v>
      </c>
      <c r="K100" s="4" t="e" cm="1">
        <f t="array" aca="1" ref="K100" ca="1">IF(ROWS(I$18:I100)&gt;K$8-K$7+1,
   NA(),
   IF(OR(K$7="",K$8="",K$7=K$8),
      NA(),
      (INDIRECT(ADDRESS(K$7+ROWS($B$18:I100)-1,COLUMN(INDIRECT(K$9&amp;1)),,,K$6))-K$10)/(K$11-K$10)*(K$13-K$12))*IF(K$14&lt;&gt;"",K$14,1))</f>
        <v>#N/A</v>
      </c>
      <c r="L100" s="4" t="e" cm="1">
        <f t="array" aca="1" ref="L100" ca="1">IF(ROWS(J$18:J100)&gt;L$8-L$7+1,
   NA(),
   IF(OR(L$7="",L$8="",L$7=L$8),
      NA(),
      (INDIRECT(ADDRESS(L$7+ROWS($B$18:J100)-1,COLUMN(INDIRECT(L$9&amp;1)),,,L$6))-L$10)/(L$11-L$10)*(L$13-L$12))*IF(L$14&lt;&gt;"",L$14,1))</f>
        <v>#N/A</v>
      </c>
    </row>
    <row r="101" spans="3:12" x14ac:dyDescent="0.2">
      <c r="C101" s="3" t="e" cm="1">
        <f t="array" aca="1" ref="C101" ca="1">IF(ROWS(A$18:A101)&gt;C$8-C$7+1,
   NA(),
   IF(OR(C$7="",C$8="",C$7=C$8),
      NA(),
      (INDIRECT(ADDRESS(C$7+ROWS(A$18:$B101)-1,COLUMN(INDIRECT(C$9&amp;1)),,,C$6))-C$10)/(C$11-C$10)*(C$13-C$12))*IF(C$14&lt;&gt;"",C$14,1))</f>
        <v>#N/A</v>
      </c>
      <c r="D101" s="4" t="e" cm="1">
        <f t="array" aca="1" ref="D101" ca="1">IF(ROWS(B$18:B101)&gt;D$8-D$7+1,
   NA(),
   IF(OR(D$7="",D$8="",D$7=D$8),
      NA(),
      (INDIRECT(ADDRESS(D$7+ROWS($B$18:B101)-1,COLUMN(INDIRECT(D$9&amp;1)),,,D$6))-D$10)/(D$11-D$10)*(D$13-D$12))*IF(D$14&lt;&gt;"",D$14,1))</f>
        <v>#N/A</v>
      </c>
      <c r="E101" s="4" t="e" cm="1">
        <f t="array" aca="1" ref="E101" ca="1">IF(ROWS(C$18:C101)&gt;E$8-E$7+1,
   NA(),
   IF(OR(E$7="",E$8="",E$7=E$8),
      NA(),
      (INDIRECT(ADDRESS(E$7+ROWS($B$18:C101)-1,COLUMN(INDIRECT(E$9&amp;1)),,,E$6))-E$10)/(E$11-E$10)*(E$13-E$12))*IF(E$14&lt;&gt;"",E$14,1))</f>
        <v>#N/A</v>
      </c>
      <c r="F101" s="4" t="e" cm="1">
        <f t="array" aca="1" ref="F101" ca="1">IF(ROWS(D$18:D101)&gt;F$8-F$7+1,
   NA(),
   IF(OR(F$7="",F$8="",F$7=F$8),
      NA(),
      (INDIRECT(ADDRESS(F$7+ROWS($B$18:D101)-1,COLUMN(INDIRECT(F$9&amp;1)),,,F$6))-F$10)/(F$11-F$10)*(F$13-F$12))*IF(F$14&lt;&gt;"",F$14,1))</f>
        <v>#N/A</v>
      </c>
      <c r="I101" s="3" t="e" cm="1">
        <f t="array" aca="1" ref="I101" ca="1">IF(ROWS(G$18:G101)&gt;I$8-I$7+1,
   NA(),
   IF(OR(I$7="",I$8="",I$7=I$8),
      NA(),
      (INDIRECT(ADDRESS(I$7+ROWS($B$18:G101)-1,COLUMN(INDIRECT(I$9&amp;1)),,,I$6))-I$10)/(I$11-I$10)*(I$13-I$12))*IF(I$14&lt;&gt;"",I$14,1))</f>
        <v>#N/A</v>
      </c>
      <c r="J101" s="4" t="e" cm="1">
        <f t="array" aca="1" ref="J101" ca="1">IF(ROWS(H$18:H101)&gt;J$8-J$7+1,
   NA(),
   IF(OR(J$7="",J$8="",J$7=J$8),
      NA(),
      (INDIRECT(ADDRESS(J$7+ROWS($B$18:H101)-1,COLUMN(INDIRECT(J$9&amp;1)),,,J$6))-J$10)/(J$11-J$10)*(J$13-J$12))*IF(J$14&lt;&gt;"",J$14,1))</f>
        <v>#N/A</v>
      </c>
      <c r="K101" s="4" t="e" cm="1">
        <f t="array" aca="1" ref="K101" ca="1">IF(ROWS(I$18:I101)&gt;K$8-K$7+1,
   NA(),
   IF(OR(K$7="",K$8="",K$7=K$8),
      NA(),
      (INDIRECT(ADDRESS(K$7+ROWS($B$18:I101)-1,COLUMN(INDIRECT(K$9&amp;1)),,,K$6))-K$10)/(K$11-K$10)*(K$13-K$12))*IF(K$14&lt;&gt;"",K$14,1))</f>
        <v>#N/A</v>
      </c>
      <c r="L101" s="4" t="e" cm="1">
        <f t="array" aca="1" ref="L101" ca="1">IF(ROWS(J$18:J101)&gt;L$8-L$7+1,
   NA(),
   IF(OR(L$7="",L$8="",L$7=L$8),
      NA(),
      (INDIRECT(ADDRESS(L$7+ROWS($B$18:J101)-1,COLUMN(INDIRECT(L$9&amp;1)),,,L$6))-L$10)/(L$11-L$10)*(L$13-L$12))*IF(L$14&lt;&gt;"",L$14,1))</f>
        <v>#N/A</v>
      </c>
    </row>
    <row r="102" spans="3:12" x14ac:dyDescent="0.2">
      <c r="C102" s="3" t="e" cm="1">
        <f t="array" aca="1" ref="C102" ca="1">IF(ROWS(A$18:A102)&gt;C$8-C$7+1,
   NA(),
   IF(OR(C$7="",C$8="",C$7=C$8),
      NA(),
      (INDIRECT(ADDRESS(C$7+ROWS(A$18:$B102)-1,COLUMN(INDIRECT(C$9&amp;1)),,,C$6))-C$10)/(C$11-C$10)*(C$13-C$12))*IF(C$14&lt;&gt;"",C$14,1))</f>
        <v>#N/A</v>
      </c>
      <c r="D102" s="4" t="e" cm="1">
        <f t="array" aca="1" ref="D102" ca="1">IF(ROWS(B$18:B102)&gt;D$8-D$7+1,
   NA(),
   IF(OR(D$7="",D$8="",D$7=D$8),
      NA(),
      (INDIRECT(ADDRESS(D$7+ROWS($B$18:B102)-1,COLUMN(INDIRECT(D$9&amp;1)),,,D$6))-D$10)/(D$11-D$10)*(D$13-D$12))*IF(D$14&lt;&gt;"",D$14,1))</f>
        <v>#N/A</v>
      </c>
      <c r="E102" s="4" t="e" cm="1">
        <f t="array" aca="1" ref="E102" ca="1">IF(ROWS(C$18:C102)&gt;E$8-E$7+1,
   NA(),
   IF(OR(E$7="",E$8="",E$7=E$8),
      NA(),
      (INDIRECT(ADDRESS(E$7+ROWS($B$18:C102)-1,COLUMN(INDIRECT(E$9&amp;1)),,,E$6))-E$10)/(E$11-E$10)*(E$13-E$12))*IF(E$14&lt;&gt;"",E$14,1))</f>
        <v>#N/A</v>
      </c>
      <c r="F102" s="4" t="e" cm="1">
        <f t="array" aca="1" ref="F102" ca="1">IF(ROWS(D$18:D102)&gt;F$8-F$7+1,
   NA(),
   IF(OR(F$7="",F$8="",F$7=F$8),
      NA(),
      (INDIRECT(ADDRESS(F$7+ROWS($B$18:D102)-1,COLUMN(INDIRECT(F$9&amp;1)),,,F$6))-F$10)/(F$11-F$10)*(F$13-F$12))*IF(F$14&lt;&gt;"",F$14,1))</f>
        <v>#N/A</v>
      </c>
      <c r="I102" s="3" t="e" cm="1">
        <f t="array" aca="1" ref="I102" ca="1">IF(ROWS(G$18:G102)&gt;I$8-I$7+1,
   NA(),
   IF(OR(I$7="",I$8="",I$7=I$8),
      NA(),
      (INDIRECT(ADDRESS(I$7+ROWS($B$18:G102)-1,COLUMN(INDIRECT(I$9&amp;1)),,,I$6))-I$10)/(I$11-I$10)*(I$13-I$12))*IF(I$14&lt;&gt;"",I$14,1))</f>
        <v>#N/A</v>
      </c>
      <c r="J102" s="4" t="e" cm="1">
        <f t="array" aca="1" ref="J102" ca="1">IF(ROWS(H$18:H102)&gt;J$8-J$7+1,
   NA(),
   IF(OR(J$7="",J$8="",J$7=J$8),
      NA(),
      (INDIRECT(ADDRESS(J$7+ROWS($B$18:H102)-1,COLUMN(INDIRECT(J$9&amp;1)),,,J$6))-J$10)/(J$11-J$10)*(J$13-J$12))*IF(J$14&lt;&gt;"",J$14,1))</f>
        <v>#N/A</v>
      </c>
      <c r="K102" s="4" t="e" cm="1">
        <f t="array" aca="1" ref="K102" ca="1">IF(ROWS(I$18:I102)&gt;K$8-K$7+1,
   NA(),
   IF(OR(K$7="",K$8="",K$7=K$8),
      NA(),
      (INDIRECT(ADDRESS(K$7+ROWS($B$18:I102)-1,COLUMN(INDIRECT(K$9&amp;1)),,,K$6))-K$10)/(K$11-K$10)*(K$13-K$12))*IF(K$14&lt;&gt;"",K$14,1))</f>
        <v>#N/A</v>
      </c>
      <c r="L102" s="4" t="e" cm="1">
        <f t="array" aca="1" ref="L102" ca="1">IF(ROWS(J$18:J102)&gt;L$8-L$7+1,
   NA(),
   IF(OR(L$7="",L$8="",L$7=L$8),
      NA(),
      (INDIRECT(ADDRESS(L$7+ROWS($B$18:J102)-1,COLUMN(INDIRECT(L$9&amp;1)),,,L$6))-L$10)/(L$11-L$10)*(L$13-L$12))*IF(L$14&lt;&gt;"",L$14,1))</f>
        <v>#N/A</v>
      </c>
    </row>
    <row r="103" spans="3:12" x14ac:dyDescent="0.2">
      <c r="C103" s="3" t="e" cm="1">
        <f t="array" aca="1" ref="C103" ca="1">IF(ROWS(A$18:A103)&gt;C$8-C$7+1,
   NA(),
   IF(OR(C$7="",C$8="",C$7=C$8),
      NA(),
      (INDIRECT(ADDRESS(C$7+ROWS(A$18:$B103)-1,COLUMN(INDIRECT(C$9&amp;1)),,,C$6))-C$10)/(C$11-C$10)*(C$13-C$12))*IF(C$14&lt;&gt;"",C$14,1))</f>
        <v>#N/A</v>
      </c>
      <c r="D103" s="4" t="e" cm="1">
        <f t="array" aca="1" ref="D103" ca="1">IF(ROWS(B$18:B103)&gt;D$8-D$7+1,
   NA(),
   IF(OR(D$7="",D$8="",D$7=D$8),
      NA(),
      (INDIRECT(ADDRESS(D$7+ROWS($B$18:B103)-1,COLUMN(INDIRECT(D$9&amp;1)),,,D$6))-D$10)/(D$11-D$10)*(D$13-D$12))*IF(D$14&lt;&gt;"",D$14,1))</f>
        <v>#N/A</v>
      </c>
      <c r="E103" s="4" t="e" cm="1">
        <f t="array" aca="1" ref="E103" ca="1">IF(ROWS(C$18:C103)&gt;E$8-E$7+1,
   NA(),
   IF(OR(E$7="",E$8="",E$7=E$8),
      NA(),
      (INDIRECT(ADDRESS(E$7+ROWS($B$18:C103)-1,COLUMN(INDIRECT(E$9&amp;1)),,,E$6))-E$10)/(E$11-E$10)*(E$13-E$12))*IF(E$14&lt;&gt;"",E$14,1))</f>
        <v>#N/A</v>
      </c>
      <c r="F103" s="4" t="e" cm="1">
        <f t="array" aca="1" ref="F103" ca="1">IF(ROWS(D$18:D103)&gt;F$8-F$7+1,
   NA(),
   IF(OR(F$7="",F$8="",F$7=F$8),
      NA(),
      (INDIRECT(ADDRESS(F$7+ROWS($B$18:D103)-1,COLUMN(INDIRECT(F$9&amp;1)),,,F$6))-F$10)/(F$11-F$10)*(F$13-F$12))*IF(F$14&lt;&gt;"",F$14,1))</f>
        <v>#N/A</v>
      </c>
      <c r="I103" s="3" t="e" cm="1">
        <f t="array" aca="1" ref="I103" ca="1">IF(ROWS(G$18:G103)&gt;I$8-I$7+1,
   NA(),
   IF(OR(I$7="",I$8="",I$7=I$8),
      NA(),
      (INDIRECT(ADDRESS(I$7+ROWS($B$18:G103)-1,COLUMN(INDIRECT(I$9&amp;1)),,,I$6))-I$10)/(I$11-I$10)*(I$13-I$12))*IF(I$14&lt;&gt;"",I$14,1))</f>
        <v>#N/A</v>
      </c>
      <c r="J103" s="4" t="e" cm="1">
        <f t="array" aca="1" ref="J103" ca="1">IF(ROWS(H$18:H103)&gt;J$8-J$7+1,
   NA(),
   IF(OR(J$7="",J$8="",J$7=J$8),
      NA(),
      (INDIRECT(ADDRESS(J$7+ROWS($B$18:H103)-1,COLUMN(INDIRECT(J$9&amp;1)),,,J$6))-J$10)/(J$11-J$10)*(J$13-J$12))*IF(J$14&lt;&gt;"",J$14,1))</f>
        <v>#N/A</v>
      </c>
      <c r="K103" s="4" t="e" cm="1">
        <f t="array" aca="1" ref="K103" ca="1">IF(ROWS(I$18:I103)&gt;K$8-K$7+1,
   NA(),
   IF(OR(K$7="",K$8="",K$7=K$8),
      NA(),
      (INDIRECT(ADDRESS(K$7+ROWS($B$18:I103)-1,COLUMN(INDIRECT(K$9&amp;1)),,,K$6))-K$10)/(K$11-K$10)*(K$13-K$12))*IF(K$14&lt;&gt;"",K$14,1))</f>
        <v>#N/A</v>
      </c>
      <c r="L103" s="4" t="e" cm="1">
        <f t="array" aca="1" ref="L103" ca="1">IF(ROWS(J$18:J103)&gt;L$8-L$7+1,
   NA(),
   IF(OR(L$7="",L$8="",L$7=L$8),
      NA(),
      (INDIRECT(ADDRESS(L$7+ROWS($B$18:J103)-1,COLUMN(INDIRECT(L$9&amp;1)),,,L$6))-L$10)/(L$11-L$10)*(L$13-L$12))*IF(L$14&lt;&gt;"",L$14,1))</f>
        <v>#N/A</v>
      </c>
    </row>
    <row r="104" spans="3:12" x14ac:dyDescent="0.2">
      <c r="C104" s="3" t="e" cm="1">
        <f t="array" aca="1" ref="C104" ca="1">IF(ROWS(A$18:A104)&gt;C$8-C$7+1,
   NA(),
   IF(OR(C$7="",C$8="",C$7=C$8),
      NA(),
      (INDIRECT(ADDRESS(C$7+ROWS(A$18:$B104)-1,COLUMN(INDIRECT(C$9&amp;1)),,,C$6))-C$10)/(C$11-C$10)*(C$13-C$12))*IF(C$14&lt;&gt;"",C$14,1))</f>
        <v>#N/A</v>
      </c>
      <c r="D104" s="4" t="e" cm="1">
        <f t="array" aca="1" ref="D104" ca="1">IF(ROWS(B$18:B104)&gt;D$8-D$7+1,
   NA(),
   IF(OR(D$7="",D$8="",D$7=D$8),
      NA(),
      (INDIRECT(ADDRESS(D$7+ROWS($B$18:B104)-1,COLUMN(INDIRECT(D$9&amp;1)),,,D$6))-D$10)/(D$11-D$10)*(D$13-D$12))*IF(D$14&lt;&gt;"",D$14,1))</f>
        <v>#N/A</v>
      </c>
      <c r="E104" s="4" t="e" cm="1">
        <f t="array" aca="1" ref="E104" ca="1">IF(ROWS(C$18:C104)&gt;E$8-E$7+1,
   NA(),
   IF(OR(E$7="",E$8="",E$7=E$8),
      NA(),
      (INDIRECT(ADDRESS(E$7+ROWS($B$18:C104)-1,COLUMN(INDIRECT(E$9&amp;1)),,,E$6))-E$10)/(E$11-E$10)*(E$13-E$12))*IF(E$14&lt;&gt;"",E$14,1))</f>
        <v>#N/A</v>
      </c>
      <c r="F104" s="4" t="e" cm="1">
        <f t="array" aca="1" ref="F104" ca="1">IF(ROWS(D$18:D104)&gt;F$8-F$7+1,
   NA(),
   IF(OR(F$7="",F$8="",F$7=F$8),
      NA(),
      (INDIRECT(ADDRESS(F$7+ROWS($B$18:D104)-1,COLUMN(INDIRECT(F$9&amp;1)),,,F$6))-F$10)/(F$11-F$10)*(F$13-F$12))*IF(F$14&lt;&gt;"",F$14,1))</f>
        <v>#N/A</v>
      </c>
      <c r="I104" s="3" t="e" cm="1">
        <f t="array" aca="1" ref="I104" ca="1">IF(ROWS(G$18:G104)&gt;I$8-I$7+1,
   NA(),
   IF(OR(I$7="",I$8="",I$7=I$8),
      NA(),
      (INDIRECT(ADDRESS(I$7+ROWS($B$18:G104)-1,COLUMN(INDIRECT(I$9&amp;1)),,,I$6))-I$10)/(I$11-I$10)*(I$13-I$12))*IF(I$14&lt;&gt;"",I$14,1))</f>
        <v>#N/A</v>
      </c>
      <c r="J104" s="4" t="e" cm="1">
        <f t="array" aca="1" ref="J104" ca="1">IF(ROWS(H$18:H104)&gt;J$8-J$7+1,
   NA(),
   IF(OR(J$7="",J$8="",J$7=J$8),
      NA(),
      (INDIRECT(ADDRESS(J$7+ROWS($B$18:H104)-1,COLUMN(INDIRECT(J$9&amp;1)),,,J$6))-J$10)/(J$11-J$10)*(J$13-J$12))*IF(J$14&lt;&gt;"",J$14,1))</f>
        <v>#N/A</v>
      </c>
      <c r="K104" s="4" t="e" cm="1">
        <f t="array" aca="1" ref="K104" ca="1">IF(ROWS(I$18:I104)&gt;K$8-K$7+1,
   NA(),
   IF(OR(K$7="",K$8="",K$7=K$8),
      NA(),
      (INDIRECT(ADDRESS(K$7+ROWS($B$18:I104)-1,COLUMN(INDIRECT(K$9&amp;1)),,,K$6))-K$10)/(K$11-K$10)*(K$13-K$12))*IF(K$14&lt;&gt;"",K$14,1))</f>
        <v>#N/A</v>
      </c>
      <c r="L104" s="4" t="e" cm="1">
        <f t="array" aca="1" ref="L104" ca="1">IF(ROWS(J$18:J104)&gt;L$8-L$7+1,
   NA(),
   IF(OR(L$7="",L$8="",L$7=L$8),
      NA(),
      (INDIRECT(ADDRESS(L$7+ROWS($B$18:J104)-1,COLUMN(INDIRECT(L$9&amp;1)),,,L$6))-L$10)/(L$11-L$10)*(L$13-L$12))*IF(L$14&lt;&gt;"",L$14,1))</f>
        <v>#N/A</v>
      </c>
    </row>
    <row r="105" spans="3:12" x14ac:dyDescent="0.2">
      <c r="C105" s="3" t="e" cm="1">
        <f t="array" aca="1" ref="C105" ca="1">IF(ROWS(A$18:A105)&gt;C$8-C$7+1,
   NA(),
   IF(OR(C$7="",C$8="",C$7=C$8),
      NA(),
      (INDIRECT(ADDRESS(C$7+ROWS(A$18:$B105)-1,COLUMN(INDIRECT(C$9&amp;1)),,,C$6))-C$10)/(C$11-C$10)*(C$13-C$12))*IF(C$14&lt;&gt;"",C$14,1))</f>
        <v>#N/A</v>
      </c>
      <c r="D105" s="4" t="e" cm="1">
        <f t="array" aca="1" ref="D105" ca="1">IF(ROWS(B$18:B105)&gt;D$8-D$7+1,
   NA(),
   IF(OR(D$7="",D$8="",D$7=D$8),
      NA(),
      (INDIRECT(ADDRESS(D$7+ROWS($B$18:B105)-1,COLUMN(INDIRECT(D$9&amp;1)),,,D$6))-D$10)/(D$11-D$10)*(D$13-D$12))*IF(D$14&lt;&gt;"",D$14,1))</f>
        <v>#N/A</v>
      </c>
      <c r="E105" s="4" t="e" cm="1">
        <f t="array" aca="1" ref="E105" ca="1">IF(ROWS(C$18:C105)&gt;E$8-E$7+1,
   NA(),
   IF(OR(E$7="",E$8="",E$7=E$8),
      NA(),
      (INDIRECT(ADDRESS(E$7+ROWS($B$18:C105)-1,COLUMN(INDIRECT(E$9&amp;1)),,,E$6))-E$10)/(E$11-E$10)*(E$13-E$12))*IF(E$14&lt;&gt;"",E$14,1))</f>
        <v>#N/A</v>
      </c>
      <c r="F105" s="4" t="e" cm="1">
        <f t="array" aca="1" ref="F105" ca="1">IF(ROWS(D$18:D105)&gt;F$8-F$7+1,
   NA(),
   IF(OR(F$7="",F$8="",F$7=F$8),
      NA(),
      (INDIRECT(ADDRESS(F$7+ROWS($B$18:D105)-1,COLUMN(INDIRECT(F$9&amp;1)),,,F$6))-F$10)/(F$11-F$10)*(F$13-F$12))*IF(F$14&lt;&gt;"",F$14,1))</f>
        <v>#N/A</v>
      </c>
      <c r="I105" s="3" t="e" cm="1">
        <f t="array" aca="1" ref="I105" ca="1">IF(ROWS(G$18:G105)&gt;I$8-I$7+1,
   NA(),
   IF(OR(I$7="",I$8="",I$7=I$8),
      NA(),
      (INDIRECT(ADDRESS(I$7+ROWS($B$18:G105)-1,COLUMN(INDIRECT(I$9&amp;1)),,,I$6))-I$10)/(I$11-I$10)*(I$13-I$12))*IF(I$14&lt;&gt;"",I$14,1))</f>
        <v>#N/A</v>
      </c>
      <c r="J105" s="4" t="e" cm="1">
        <f t="array" aca="1" ref="J105" ca="1">IF(ROWS(H$18:H105)&gt;J$8-J$7+1,
   NA(),
   IF(OR(J$7="",J$8="",J$7=J$8),
      NA(),
      (INDIRECT(ADDRESS(J$7+ROWS($B$18:H105)-1,COLUMN(INDIRECT(J$9&amp;1)),,,J$6))-J$10)/(J$11-J$10)*(J$13-J$12))*IF(J$14&lt;&gt;"",J$14,1))</f>
        <v>#N/A</v>
      </c>
      <c r="K105" s="4" t="e" cm="1">
        <f t="array" aca="1" ref="K105" ca="1">IF(ROWS(I$18:I105)&gt;K$8-K$7+1,
   NA(),
   IF(OR(K$7="",K$8="",K$7=K$8),
      NA(),
      (INDIRECT(ADDRESS(K$7+ROWS($B$18:I105)-1,COLUMN(INDIRECT(K$9&amp;1)),,,K$6))-K$10)/(K$11-K$10)*(K$13-K$12))*IF(K$14&lt;&gt;"",K$14,1))</f>
        <v>#N/A</v>
      </c>
      <c r="L105" s="4" t="e" cm="1">
        <f t="array" aca="1" ref="L105" ca="1">IF(ROWS(J$18:J105)&gt;L$8-L$7+1,
   NA(),
   IF(OR(L$7="",L$8="",L$7=L$8),
      NA(),
      (INDIRECT(ADDRESS(L$7+ROWS($B$18:J105)-1,COLUMN(INDIRECT(L$9&amp;1)),,,L$6))-L$10)/(L$11-L$10)*(L$13-L$12))*IF(L$14&lt;&gt;"",L$14,1))</f>
        <v>#N/A</v>
      </c>
    </row>
    <row r="106" spans="3:12" x14ac:dyDescent="0.2">
      <c r="C106" s="3" t="e" cm="1">
        <f t="array" aca="1" ref="C106" ca="1">IF(ROWS(A$18:A106)&gt;C$8-C$7+1,
   NA(),
   IF(OR(C$7="",C$8="",C$7=C$8),
      NA(),
      (INDIRECT(ADDRESS(C$7+ROWS(A$18:$B106)-1,COLUMN(INDIRECT(C$9&amp;1)),,,C$6))-C$10)/(C$11-C$10)*(C$13-C$12))*IF(C$14&lt;&gt;"",C$14,1))</f>
        <v>#N/A</v>
      </c>
      <c r="D106" s="4" t="e" cm="1">
        <f t="array" aca="1" ref="D106" ca="1">IF(ROWS(B$18:B106)&gt;D$8-D$7+1,
   NA(),
   IF(OR(D$7="",D$8="",D$7=D$8),
      NA(),
      (INDIRECT(ADDRESS(D$7+ROWS($B$18:B106)-1,COLUMN(INDIRECT(D$9&amp;1)),,,D$6))-D$10)/(D$11-D$10)*(D$13-D$12))*IF(D$14&lt;&gt;"",D$14,1))</f>
        <v>#N/A</v>
      </c>
      <c r="E106" s="4" t="e" cm="1">
        <f t="array" aca="1" ref="E106" ca="1">IF(ROWS(C$18:C106)&gt;E$8-E$7+1,
   NA(),
   IF(OR(E$7="",E$8="",E$7=E$8),
      NA(),
      (INDIRECT(ADDRESS(E$7+ROWS($B$18:C106)-1,COLUMN(INDIRECT(E$9&amp;1)),,,E$6))-E$10)/(E$11-E$10)*(E$13-E$12))*IF(E$14&lt;&gt;"",E$14,1))</f>
        <v>#N/A</v>
      </c>
      <c r="F106" s="4" t="e" cm="1">
        <f t="array" aca="1" ref="F106" ca="1">IF(ROWS(D$18:D106)&gt;F$8-F$7+1,
   NA(),
   IF(OR(F$7="",F$8="",F$7=F$8),
      NA(),
      (INDIRECT(ADDRESS(F$7+ROWS($B$18:D106)-1,COLUMN(INDIRECT(F$9&amp;1)),,,F$6))-F$10)/(F$11-F$10)*(F$13-F$12))*IF(F$14&lt;&gt;"",F$14,1))</f>
        <v>#N/A</v>
      </c>
      <c r="I106" s="3" t="e" cm="1">
        <f t="array" aca="1" ref="I106" ca="1">IF(ROWS(G$18:G106)&gt;I$8-I$7+1,
   NA(),
   IF(OR(I$7="",I$8="",I$7=I$8),
      NA(),
      (INDIRECT(ADDRESS(I$7+ROWS($B$18:G106)-1,COLUMN(INDIRECT(I$9&amp;1)),,,I$6))-I$10)/(I$11-I$10)*(I$13-I$12))*IF(I$14&lt;&gt;"",I$14,1))</f>
        <v>#N/A</v>
      </c>
      <c r="J106" s="4" t="e" cm="1">
        <f t="array" aca="1" ref="J106" ca="1">IF(ROWS(H$18:H106)&gt;J$8-J$7+1,
   NA(),
   IF(OR(J$7="",J$8="",J$7=J$8),
      NA(),
      (INDIRECT(ADDRESS(J$7+ROWS($B$18:H106)-1,COLUMN(INDIRECT(J$9&amp;1)),,,J$6))-J$10)/(J$11-J$10)*(J$13-J$12))*IF(J$14&lt;&gt;"",J$14,1))</f>
        <v>#N/A</v>
      </c>
      <c r="K106" s="4" t="e" cm="1">
        <f t="array" aca="1" ref="K106" ca="1">IF(ROWS(I$18:I106)&gt;K$8-K$7+1,
   NA(),
   IF(OR(K$7="",K$8="",K$7=K$8),
      NA(),
      (INDIRECT(ADDRESS(K$7+ROWS($B$18:I106)-1,COLUMN(INDIRECT(K$9&amp;1)),,,K$6))-K$10)/(K$11-K$10)*(K$13-K$12))*IF(K$14&lt;&gt;"",K$14,1))</f>
        <v>#N/A</v>
      </c>
      <c r="L106" s="4" t="e" cm="1">
        <f t="array" aca="1" ref="L106" ca="1">IF(ROWS(J$18:J106)&gt;L$8-L$7+1,
   NA(),
   IF(OR(L$7="",L$8="",L$7=L$8),
      NA(),
      (INDIRECT(ADDRESS(L$7+ROWS($B$18:J106)-1,COLUMN(INDIRECT(L$9&amp;1)),,,L$6))-L$10)/(L$11-L$10)*(L$13-L$12))*IF(L$14&lt;&gt;"",L$14,1))</f>
        <v>#N/A</v>
      </c>
    </row>
    <row r="107" spans="3:12" x14ac:dyDescent="0.2">
      <c r="C107" s="3" t="e" cm="1">
        <f t="array" aca="1" ref="C107" ca="1">IF(ROWS(A$18:A107)&gt;C$8-C$7+1,
   NA(),
   IF(OR(C$7="",C$8="",C$7=C$8),
      NA(),
      (INDIRECT(ADDRESS(C$7+ROWS(A$18:$B107)-1,COLUMN(INDIRECT(C$9&amp;1)),,,C$6))-C$10)/(C$11-C$10)*(C$13-C$12))*IF(C$14&lt;&gt;"",C$14,1))</f>
        <v>#N/A</v>
      </c>
      <c r="D107" s="4" t="e" cm="1">
        <f t="array" aca="1" ref="D107" ca="1">IF(ROWS(B$18:B107)&gt;D$8-D$7+1,
   NA(),
   IF(OR(D$7="",D$8="",D$7=D$8),
      NA(),
      (INDIRECT(ADDRESS(D$7+ROWS($B$18:B107)-1,COLUMN(INDIRECT(D$9&amp;1)),,,D$6))-D$10)/(D$11-D$10)*(D$13-D$12))*IF(D$14&lt;&gt;"",D$14,1))</f>
        <v>#N/A</v>
      </c>
      <c r="E107" s="4" t="e" cm="1">
        <f t="array" aca="1" ref="E107" ca="1">IF(ROWS(C$18:C107)&gt;E$8-E$7+1,
   NA(),
   IF(OR(E$7="",E$8="",E$7=E$8),
      NA(),
      (INDIRECT(ADDRESS(E$7+ROWS($B$18:C107)-1,COLUMN(INDIRECT(E$9&amp;1)),,,E$6))-E$10)/(E$11-E$10)*(E$13-E$12))*IF(E$14&lt;&gt;"",E$14,1))</f>
        <v>#N/A</v>
      </c>
      <c r="F107" s="4" t="e" cm="1">
        <f t="array" aca="1" ref="F107" ca="1">IF(ROWS(D$18:D107)&gt;F$8-F$7+1,
   NA(),
   IF(OR(F$7="",F$8="",F$7=F$8),
      NA(),
      (INDIRECT(ADDRESS(F$7+ROWS($B$18:D107)-1,COLUMN(INDIRECT(F$9&amp;1)),,,F$6))-F$10)/(F$11-F$10)*(F$13-F$12))*IF(F$14&lt;&gt;"",F$14,1))</f>
        <v>#N/A</v>
      </c>
      <c r="I107" s="3" t="e" cm="1">
        <f t="array" aca="1" ref="I107" ca="1">IF(ROWS(G$18:G107)&gt;I$8-I$7+1,
   NA(),
   IF(OR(I$7="",I$8="",I$7=I$8),
      NA(),
      (INDIRECT(ADDRESS(I$7+ROWS($B$18:G107)-1,COLUMN(INDIRECT(I$9&amp;1)),,,I$6))-I$10)/(I$11-I$10)*(I$13-I$12))*IF(I$14&lt;&gt;"",I$14,1))</f>
        <v>#N/A</v>
      </c>
      <c r="J107" s="4" t="e" cm="1">
        <f t="array" aca="1" ref="J107" ca="1">IF(ROWS(H$18:H107)&gt;J$8-J$7+1,
   NA(),
   IF(OR(J$7="",J$8="",J$7=J$8),
      NA(),
      (INDIRECT(ADDRESS(J$7+ROWS($B$18:H107)-1,COLUMN(INDIRECT(J$9&amp;1)),,,J$6))-J$10)/(J$11-J$10)*(J$13-J$12))*IF(J$14&lt;&gt;"",J$14,1))</f>
        <v>#N/A</v>
      </c>
      <c r="K107" s="4" t="e" cm="1">
        <f t="array" aca="1" ref="K107" ca="1">IF(ROWS(I$18:I107)&gt;K$8-K$7+1,
   NA(),
   IF(OR(K$7="",K$8="",K$7=K$8),
      NA(),
      (INDIRECT(ADDRESS(K$7+ROWS($B$18:I107)-1,COLUMN(INDIRECT(K$9&amp;1)),,,K$6))-K$10)/(K$11-K$10)*(K$13-K$12))*IF(K$14&lt;&gt;"",K$14,1))</f>
        <v>#N/A</v>
      </c>
      <c r="L107" s="4" t="e" cm="1">
        <f t="array" aca="1" ref="L107" ca="1">IF(ROWS(J$18:J107)&gt;L$8-L$7+1,
   NA(),
   IF(OR(L$7="",L$8="",L$7=L$8),
      NA(),
      (INDIRECT(ADDRESS(L$7+ROWS($B$18:J107)-1,COLUMN(INDIRECT(L$9&amp;1)),,,L$6))-L$10)/(L$11-L$10)*(L$13-L$12))*IF(L$14&lt;&gt;"",L$14,1))</f>
        <v>#N/A</v>
      </c>
    </row>
    <row r="108" spans="3:12" x14ac:dyDescent="0.2">
      <c r="C108" s="3" t="e" cm="1">
        <f t="array" aca="1" ref="C108" ca="1">IF(ROWS(A$18:A108)&gt;C$8-C$7+1,
   NA(),
   IF(OR(C$7="",C$8="",C$7=C$8),
      NA(),
      (INDIRECT(ADDRESS(C$7+ROWS(A$18:$B108)-1,COLUMN(INDIRECT(C$9&amp;1)),,,C$6))-C$10)/(C$11-C$10)*(C$13-C$12))*IF(C$14&lt;&gt;"",C$14,1))</f>
        <v>#N/A</v>
      </c>
      <c r="D108" s="4" t="e" cm="1">
        <f t="array" aca="1" ref="D108" ca="1">IF(ROWS(B$18:B108)&gt;D$8-D$7+1,
   NA(),
   IF(OR(D$7="",D$8="",D$7=D$8),
      NA(),
      (INDIRECT(ADDRESS(D$7+ROWS($B$18:B108)-1,COLUMN(INDIRECT(D$9&amp;1)),,,D$6))-D$10)/(D$11-D$10)*(D$13-D$12))*IF(D$14&lt;&gt;"",D$14,1))</f>
        <v>#N/A</v>
      </c>
      <c r="E108" s="4" t="e" cm="1">
        <f t="array" aca="1" ref="E108" ca="1">IF(ROWS(C$18:C108)&gt;E$8-E$7+1,
   NA(),
   IF(OR(E$7="",E$8="",E$7=E$8),
      NA(),
      (INDIRECT(ADDRESS(E$7+ROWS($B$18:C108)-1,COLUMN(INDIRECT(E$9&amp;1)),,,E$6))-E$10)/(E$11-E$10)*(E$13-E$12))*IF(E$14&lt;&gt;"",E$14,1))</f>
        <v>#N/A</v>
      </c>
      <c r="F108" s="4" t="e" cm="1">
        <f t="array" aca="1" ref="F108" ca="1">IF(ROWS(D$18:D108)&gt;F$8-F$7+1,
   NA(),
   IF(OR(F$7="",F$8="",F$7=F$8),
      NA(),
      (INDIRECT(ADDRESS(F$7+ROWS($B$18:D108)-1,COLUMN(INDIRECT(F$9&amp;1)),,,F$6))-F$10)/(F$11-F$10)*(F$13-F$12))*IF(F$14&lt;&gt;"",F$14,1))</f>
        <v>#N/A</v>
      </c>
      <c r="I108" s="3" t="e" cm="1">
        <f t="array" aca="1" ref="I108" ca="1">IF(ROWS(G$18:G108)&gt;I$8-I$7+1,
   NA(),
   IF(OR(I$7="",I$8="",I$7=I$8),
      NA(),
      (INDIRECT(ADDRESS(I$7+ROWS($B$18:G108)-1,COLUMN(INDIRECT(I$9&amp;1)),,,I$6))-I$10)/(I$11-I$10)*(I$13-I$12))*IF(I$14&lt;&gt;"",I$14,1))</f>
        <v>#N/A</v>
      </c>
      <c r="J108" s="4" t="e" cm="1">
        <f t="array" aca="1" ref="J108" ca="1">IF(ROWS(H$18:H108)&gt;J$8-J$7+1,
   NA(),
   IF(OR(J$7="",J$8="",J$7=J$8),
      NA(),
      (INDIRECT(ADDRESS(J$7+ROWS($B$18:H108)-1,COLUMN(INDIRECT(J$9&amp;1)),,,J$6))-J$10)/(J$11-J$10)*(J$13-J$12))*IF(J$14&lt;&gt;"",J$14,1))</f>
        <v>#N/A</v>
      </c>
      <c r="K108" s="4" t="e" cm="1">
        <f t="array" aca="1" ref="K108" ca="1">IF(ROWS(I$18:I108)&gt;K$8-K$7+1,
   NA(),
   IF(OR(K$7="",K$8="",K$7=K$8),
      NA(),
      (INDIRECT(ADDRESS(K$7+ROWS($B$18:I108)-1,COLUMN(INDIRECT(K$9&amp;1)),,,K$6))-K$10)/(K$11-K$10)*(K$13-K$12))*IF(K$14&lt;&gt;"",K$14,1))</f>
        <v>#N/A</v>
      </c>
      <c r="L108" s="4" t="e" cm="1">
        <f t="array" aca="1" ref="L108" ca="1">IF(ROWS(J$18:J108)&gt;L$8-L$7+1,
   NA(),
   IF(OR(L$7="",L$8="",L$7=L$8),
      NA(),
      (INDIRECT(ADDRESS(L$7+ROWS($B$18:J108)-1,COLUMN(INDIRECT(L$9&amp;1)),,,L$6))-L$10)/(L$11-L$10)*(L$13-L$12))*IF(L$14&lt;&gt;"",L$14,1))</f>
        <v>#N/A</v>
      </c>
    </row>
    <row r="109" spans="3:12" x14ac:dyDescent="0.2">
      <c r="C109" s="3" t="e" cm="1">
        <f t="array" aca="1" ref="C109" ca="1">IF(ROWS(A$18:A109)&gt;C$8-C$7+1,
   NA(),
   IF(OR(C$7="",C$8="",C$7=C$8),
      NA(),
      (INDIRECT(ADDRESS(C$7+ROWS(A$18:$B109)-1,COLUMN(INDIRECT(C$9&amp;1)),,,C$6))-C$10)/(C$11-C$10)*(C$13-C$12))*IF(C$14&lt;&gt;"",C$14,1))</f>
        <v>#N/A</v>
      </c>
      <c r="D109" s="4" t="e" cm="1">
        <f t="array" aca="1" ref="D109" ca="1">IF(ROWS(B$18:B109)&gt;D$8-D$7+1,
   NA(),
   IF(OR(D$7="",D$8="",D$7=D$8),
      NA(),
      (INDIRECT(ADDRESS(D$7+ROWS($B$18:B109)-1,COLUMN(INDIRECT(D$9&amp;1)),,,D$6))-D$10)/(D$11-D$10)*(D$13-D$12))*IF(D$14&lt;&gt;"",D$14,1))</f>
        <v>#N/A</v>
      </c>
      <c r="E109" s="4" t="e" cm="1">
        <f t="array" aca="1" ref="E109" ca="1">IF(ROWS(C$18:C109)&gt;E$8-E$7+1,
   NA(),
   IF(OR(E$7="",E$8="",E$7=E$8),
      NA(),
      (INDIRECT(ADDRESS(E$7+ROWS($B$18:C109)-1,COLUMN(INDIRECT(E$9&amp;1)),,,E$6))-E$10)/(E$11-E$10)*(E$13-E$12))*IF(E$14&lt;&gt;"",E$14,1))</f>
        <v>#N/A</v>
      </c>
      <c r="F109" s="4" t="e" cm="1">
        <f t="array" aca="1" ref="F109" ca="1">IF(ROWS(D$18:D109)&gt;F$8-F$7+1,
   NA(),
   IF(OR(F$7="",F$8="",F$7=F$8),
      NA(),
      (INDIRECT(ADDRESS(F$7+ROWS($B$18:D109)-1,COLUMN(INDIRECT(F$9&amp;1)),,,F$6))-F$10)/(F$11-F$10)*(F$13-F$12))*IF(F$14&lt;&gt;"",F$14,1))</f>
        <v>#N/A</v>
      </c>
      <c r="I109" s="3" t="e" cm="1">
        <f t="array" aca="1" ref="I109" ca="1">IF(ROWS(G$18:G109)&gt;I$8-I$7+1,
   NA(),
   IF(OR(I$7="",I$8="",I$7=I$8),
      NA(),
      (INDIRECT(ADDRESS(I$7+ROWS($B$18:G109)-1,COLUMN(INDIRECT(I$9&amp;1)),,,I$6))-I$10)/(I$11-I$10)*(I$13-I$12))*IF(I$14&lt;&gt;"",I$14,1))</f>
        <v>#N/A</v>
      </c>
      <c r="J109" s="4" t="e" cm="1">
        <f t="array" aca="1" ref="J109" ca="1">IF(ROWS(H$18:H109)&gt;J$8-J$7+1,
   NA(),
   IF(OR(J$7="",J$8="",J$7=J$8),
      NA(),
      (INDIRECT(ADDRESS(J$7+ROWS($B$18:H109)-1,COLUMN(INDIRECT(J$9&amp;1)),,,J$6))-J$10)/(J$11-J$10)*(J$13-J$12))*IF(J$14&lt;&gt;"",J$14,1))</f>
        <v>#N/A</v>
      </c>
      <c r="K109" s="4" t="e" cm="1">
        <f t="array" aca="1" ref="K109" ca="1">IF(ROWS(I$18:I109)&gt;K$8-K$7+1,
   NA(),
   IF(OR(K$7="",K$8="",K$7=K$8),
      NA(),
      (INDIRECT(ADDRESS(K$7+ROWS($B$18:I109)-1,COLUMN(INDIRECT(K$9&amp;1)),,,K$6))-K$10)/(K$11-K$10)*(K$13-K$12))*IF(K$14&lt;&gt;"",K$14,1))</f>
        <v>#N/A</v>
      </c>
      <c r="L109" s="4" t="e" cm="1">
        <f t="array" aca="1" ref="L109" ca="1">IF(ROWS(J$18:J109)&gt;L$8-L$7+1,
   NA(),
   IF(OR(L$7="",L$8="",L$7=L$8),
      NA(),
      (INDIRECT(ADDRESS(L$7+ROWS($B$18:J109)-1,COLUMN(INDIRECT(L$9&amp;1)),,,L$6))-L$10)/(L$11-L$10)*(L$13-L$12))*IF(L$14&lt;&gt;"",L$14,1))</f>
        <v>#N/A</v>
      </c>
    </row>
    <row r="110" spans="3:12" x14ac:dyDescent="0.2">
      <c r="C110" s="3" t="e" cm="1">
        <f t="array" aca="1" ref="C110" ca="1">IF(ROWS(A$18:A110)&gt;C$8-C$7+1,
   NA(),
   IF(OR(C$7="",C$8="",C$7=C$8),
      NA(),
      (INDIRECT(ADDRESS(C$7+ROWS(A$18:$B110)-1,COLUMN(INDIRECT(C$9&amp;1)),,,C$6))-C$10)/(C$11-C$10)*(C$13-C$12))*IF(C$14&lt;&gt;"",C$14,1))</f>
        <v>#N/A</v>
      </c>
      <c r="D110" s="4" t="e" cm="1">
        <f t="array" aca="1" ref="D110" ca="1">IF(ROWS(B$18:B110)&gt;D$8-D$7+1,
   NA(),
   IF(OR(D$7="",D$8="",D$7=D$8),
      NA(),
      (INDIRECT(ADDRESS(D$7+ROWS($B$18:B110)-1,COLUMN(INDIRECT(D$9&amp;1)),,,D$6))-D$10)/(D$11-D$10)*(D$13-D$12))*IF(D$14&lt;&gt;"",D$14,1))</f>
        <v>#N/A</v>
      </c>
      <c r="E110" s="4" t="e" cm="1">
        <f t="array" aca="1" ref="E110" ca="1">IF(ROWS(C$18:C110)&gt;E$8-E$7+1,
   NA(),
   IF(OR(E$7="",E$8="",E$7=E$8),
      NA(),
      (INDIRECT(ADDRESS(E$7+ROWS($B$18:C110)-1,COLUMN(INDIRECT(E$9&amp;1)),,,E$6))-E$10)/(E$11-E$10)*(E$13-E$12))*IF(E$14&lt;&gt;"",E$14,1))</f>
        <v>#N/A</v>
      </c>
      <c r="F110" s="4" t="e" cm="1">
        <f t="array" aca="1" ref="F110" ca="1">IF(ROWS(D$18:D110)&gt;F$8-F$7+1,
   NA(),
   IF(OR(F$7="",F$8="",F$7=F$8),
      NA(),
      (INDIRECT(ADDRESS(F$7+ROWS($B$18:D110)-1,COLUMN(INDIRECT(F$9&amp;1)),,,F$6))-F$10)/(F$11-F$10)*(F$13-F$12))*IF(F$14&lt;&gt;"",F$14,1))</f>
        <v>#N/A</v>
      </c>
      <c r="I110" s="3" t="e" cm="1">
        <f t="array" aca="1" ref="I110" ca="1">IF(ROWS(G$18:G110)&gt;I$8-I$7+1,
   NA(),
   IF(OR(I$7="",I$8="",I$7=I$8),
      NA(),
      (INDIRECT(ADDRESS(I$7+ROWS($B$18:G110)-1,COLUMN(INDIRECT(I$9&amp;1)),,,I$6))-I$10)/(I$11-I$10)*(I$13-I$12))*IF(I$14&lt;&gt;"",I$14,1))</f>
        <v>#N/A</v>
      </c>
      <c r="J110" s="4" t="e" cm="1">
        <f t="array" aca="1" ref="J110" ca="1">IF(ROWS(H$18:H110)&gt;J$8-J$7+1,
   NA(),
   IF(OR(J$7="",J$8="",J$7=J$8),
      NA(),
      (INDIRECT(ADDRESS(J$7+ROWS($B$18:H110)-1,COLUMN(INDIRECT(J$9&amp;1)),,,J$6))-J$10)/(J$11-J$10)*(J$13-J$12))*IF(J$14&lt;&gt;"",J$14,1))</f>
        <v>#N/A</v>
      </c>
      <c r="K110" s="4" t="e" cm="1">
        <f t="array" aca="1" ref="K110" ca="1">IF(ROWS(I$18:I110)&gt;K$8-K$7+1,
   NA(),
   IF(OR(K$7="",K$8="",K$7=K$8),
      NA(),
      (INDIRECT(ADDRESS(K$7+ROWS($B$18:I110)-1,COLUMN(INDIRECT(K$9&amp;1)),,,K$6))-K$10)/(K$11-K$10)*(K$13-K$12))*IF(K$14&lt;&gt;"",K$14,1))</f>
        <v>#N/A</v>
      </c>
      <c r="L110" s="4" t="e" cm="1">
        <f t="array" aca="1" ref="L110" ca="1">IF(ROWS(J$18:J110)&gt;L$8-L$7+1,
   NA(),
   IF(OR(L$7="",L$8="",L$7=L$8),
      NA(),
      (INDIRECT(ADDRESS(L$7+ROWS($B$18:J110)-1,COLUMN(INDIRECT(L$9&amp;1)),,,L$6))-L$10)/(L$11-L$10)*(L$13-L$12))*IF(L$14&lt;&gt;"",L$14,1))</f>
        <v>#N/A</v>
      </c>
    </row>
    <row r="111" spans="3:12" x14ac:dyDescent="0.2">
      <c r="C111" s="3" t="e" cm="1">
        <f t="array" aca="1" ref="C111" ca="1">IF(ROWS(A$18:A111)&gt;C$8-C$7+1,
   NA(),
   IF(OR(C$7="",C$8="",C$7=C$8),
      NA(),
      (INDIRECT(ADDRESS(C$7+ROWS(A$18:$B111)-1,COLUMN(INDIRECT(C$9&amp;1)),,,C$6))-C$10)/(C$11-C$10)*(C$13-C$12))*IF(C$14&lt;&gt;"",C$14,1))</f>
        <v>#N/A</v>
      </c>
      <c r="D111" s="4" t="e" cm="1">
        <f t="array" aca="1" ref="D111" ca="1">IF(ROWS(B$18:B111)&gt;D$8-D$7+1,
   NA(),
   IF(OR(D$7="",D$8="",D$7=D$8),
      NA(),
      (INDIRECT(ADDRESS(D$7+ROWS($B$18:B111)-1,COLUMN(INDIRECT(D$9&amp;1)),,,D$6))-D$10)/(D$11-D$10)*(D$13-D$12))*IF(D$14&lt;&gt;"",D$14,1))</f>
        <v>#N/A</v>
      </c>
      <c r="E111" s="4" t="e" cm="1">
        <f t="array" aca="1" ref="E111" ca="1">IF(ROWS(C$18:C111)&gt;E$8-E$7+1,
   NA(),
   IF(OR(E$7="",E$8="",E$7=E$8),
      NA(),
      (INDIRECT(ADDRESS(E$7+ROWS($B$18:C111)-1,COLUMN(INDIRECT(E$9&amp;1)),,,E$6))-E$10)/(E$11-E$10)*(E$13-E$12))*IF(E$14&lt;&gt;"",E$14,1))</f>
        <v>#N/A</v>
      </c>
      <c r="F111" s="4" t="e" cm="1">
        <f t="array" aca="1" ref="F111" ca="1">IF(ROWS(D$18:D111)&gt;F$8-F$7+1,
   NA(),
   IF(OR(F$7="",F$8="",F$7=F$8),
      NA(),
      (INDIRECT(ADDRESS(F$7+ROWS($B$18:D111)-1,COLUMN(INDIRECT(F$9&amp;1)),,,F$6))-F$10)/(F$11-F$10)*(F$13-F$12))*IF(F$14&lt;&gt;"",F$14,1))</f>
        <v>#N/A</v>
      </c>
      <c r="I111" s="3" t="e" cm="1">
        <f t="array" aca="1" ref="I111" ca="1">IF(ROWS(G$18:G111)&gt;I$8-I$7+1,
   NA(),
   IF(OR(I$7="",I$8="",I$7=I$8),
      NA(),
      (INDIRECT(ADDRESS(I$7+ROWS($B$18:G111)-1,COLUMN(INDIRECT(I$9&amp;1)),,,I$6))-I$10)/(I$11-I$10)*(I$13-I$12))*IF(I$14&lt;&gt;"",I$14,1))</f>
        <v>#N/A</v>
      </c>
      <c r="J111" s="4" t="e" cm="1">
        <f t="array" aca="1" ref="J111" ca="1">IF(ROWS(H$18:H111)&gt;J$8-J$7+1,
   NA(),
   IF(OR(J$7="",J$8="",J$7=J$8),
      NA(),
      (INDIRECT(ADDRESS(J$7+ROWS($B$18:H111)-1,COLUMN(INDIRECT(J$9&amp;1)),,,J$6))-J$10)/(J$11-J$10)*(J$13-J$12))*IF(J$14&lt;&gt;"",J$14,1))</f>
        <v>#N/A</v>
      </c>
      <c r="K111" s="4" t="e" cm="1">
        <f t="array" aca="1" ref="K111" ca="1">IF(ROWS(I$18:I111)&gt;K$8-K$7+1,
   NA(),
   IF(OR(K$7="",K$8="",K$7=K$8),
      NA(),
      (INDIRECT(ADDRESS(K$7+ROWS($B$18:I111)-1,COLUMN(INDIRECT(K$9&amp;1)),,,K$6))-K$10)/(K$11-K$10)*(K$13-K$12))*IF(K$14&lt;&gt;"",K$14,1))</f>
        <v>#N/A</v>
      </c>
      <c r="L111" s="4" t="e" cm="1">
        <f t="array" aca="1" ref="L111" ca="1">IF(ROWS(J$18:J111)&gt;L$8-L$7+1,
   NA(),
   IF(OR(L$7="",L$8="",L$7=L$8),
      NA(),
      (INDIRECT(ADDRESS(L$7+ROWS($B$18:J111)-1,COLUMN(INDIRECT(L$9&amp;1)),,,L$6))-L$10)/(L$11-L$10)*(L$13-L$12))*IF(L$14&lt;&gt;"",L$14,1))</f>
        <v>#N/A</v>
      </c>
    </row>
    <row r="112" spans="3:12" x14ac:dyDescent="0.2">
      <c r="C112" s="3" t="e" cm="1">
        <f t="array" aca="1" ref="C112" ca="1">IF(ROWS(A$18:A112)&gt;C$8-C$7+1,
   NA(),
   IF(OR(C$7="",C$8="",C$7=C$8),
      NA(),
      (INDIRECT(ADDRESS(C$7+ROWS(A$18:$B112)-1,COLUMN(INDIRECT(C$9&amp;1)),,,C$6))-C$10)/(C$11-C$10)*(C$13-C$12))*IF(C$14&lt;&gt;"",C$14,1))</f>
        <v>#N/A</v>
      </c>
      <c r="D112" s="4" t="e" cm="1">
        <f t="array" aca="1" ref="D112" ca="1">IF(ROWS(B$18:B112)&gt;D$8-D$7+1,
   NA(),
   IF(OR(D$7="",D$8="",D$7=D$8),
      NA(),
      (INDIRECT(ADDRESS(D$7+ROWS($B$18:B112)-1,COLUMN(INDIRECT(D$9&amp;1)),,,D$6))-D$10)/(D$11-D$10)*(D$13-D$12))*IF(D$14&lt;&gt;"",D$14,1))</f>
        <v>#N/A</v>
      </c>
      <c r="E112" s="4" t="e" cm="1">
        <f t="array" aca="1" ref="E112" ca="1">IF(ROWS(C$18:C112)&gt;E$8-E$7+1,
   NA(),
   IF(OR(E$7="",E$8="",E$7=E$8),
      NA(),
      (INDIRECT(ADDRESS(E$7+ROWS($B$18:C112)-1,COLUMN(INDIRECT(E$9&amp;1)),,,E$6))-E$10)/(E$11-E$10)*(E$13-E$12))*IF(E$14&lt;&gt;"",E$14,1))</f>
        <v>#N/A</v>
      </c>
      <c r="F112" s="4" t="e" cm="1">
        <f t="array" aca="1" ref="F112" ca="1">IF(ROWS(D$18:D112)&gt;F$8-F$7+1,
   NA(),
   IF(OR(F$7="",F$8="",F$7=F$8),
      NA(),
      (INDIRECT(ADDRESS(F$7+ROWS($B$18:D112)-1,COLUMN(INDIRECT(F$9&amp;1)),,,F$6))-F$10)/(F$11-F$10)*(F$13-F$12))*IF(F$14&lt;&gt;"",F$14,1))</f>
        <v>#N/A</v>
      </c>
      <c r="I112" s="3" t="e" cm="1">
        <f t="array" aca="1" ref="I112" ca="1">IF(ROWS(G$18:G112)&gt;I$8-I$7+1,
   NA(),
   IF(OR(I$7="",I$8="",I$7=I$8),
      NA(),
      (INDIRECT(ADDRESS(I$7+ROWS($B$18:G112)-1,COLUMN(INDIRECT(I$9&amp;1)),,,I$6))-I$10)/(I$11-I$10)*(I$13-I$12))*IF(I$14&lt;&gt;"",I$14,1))</f>
        <v>#N/A</v>
      </c>
      <c r="J112" s="4" t="e" cm="1">
        <f t="array" aca="1" ref="J112" ca="1">IF(ROWS(H$18:H112)&gt;J$8-J$7+1,
   NA(),
   IF(OR(J$7="",J$8="",J$7=J$8),
      NA(),
      (INDIRECT(ADDRESS(J$7+ROWS($B$18:H112)-1,COLUMN(INDIRECT(J$9&amp;1)),,,J$6))-J$10)/(J$11-J$10)*(J$13-J$12))*IF(J$14&lt;&gt;"",J$14,1))</f>
        <v>#N/A</v>
      </c>
      <c r="K112" s="4" t="e" cm="1">
        <f t="array" aca="1" ref="K112" ca="1">IF(ROWS(I$18:I112)&gt;K$8-K$7+1,
   NA(),
   IF(OR(K$7="",K$8="",K$7=K$8),
      NA(),
      (INDIRECT(ADDRESS(K$7+ROWS($B$18:I112)-1,COLUMN(INDIRECT(K$9&amp;1)),,,K$6))-K$10)/(K$11-K$10)*(K$13-K$12))*IF(K$14&lt;&gt;"",K$14,1))</f>
        <v>#N/A</v>
      </c>
      <c r="L112" s="4" t="e" cm="1">
        <f t="array" aca="1" ref="L112" ca="1">IF(ROWS(J$18:J112)&gt;L$8-L$7+1,
   NA(),
   IF(OR(L$7="",L$8="",L$7=L$8),
      NA(),
      (INDIRECT(ADDRESS(L$7+ROWS($B$18:J112)-1,COLUMN(INDIRECT(L$9&amp;1)),,,L$6))-L$10)/(L$11-L$10)*(L$13-L$12))*IF(L$14&lt;&gt;"",L$14,1))</f>
        <v>#N/A</v>
      </c>
    </row>
    <row r="113" spans="3:12" x14ac:dyDescent="0.2">
      <c r="C113" s="3" t="e" cm="1">
        <f t="array" aca="1" ref="C113" ca="1">IF(ROWS(A$18:A113)&gt;C$8-C$7+1,
   NA(),
   IF(OR(C$7="",C$8="",C$7=C$8),
      NA(),
      (INDIRECT(ADDRESS(C$7+ROWS(A$18:$B113)-1,COLUMN(INDIRECT(C$9&amp;1)),,,C$6))-C$10)/(C$11-C$10)*(C$13-C$12))*IF(C$14&lt;&gt;"",C$14,1))</f>
        <v>#N/A</v>
      </c>
      <c r="D113" s="4" t="e" cm="1">
        <f t="array" aca="1" ref="D113" ca="1">IF(ROWS(B$18:B113)&gt;D$8-D$7+1,
   NA(),
   IF(OR(D$7="",D$8="",D$7=D$8),
      NA(),
      (INDIRECT(ADDRESS(D$7+ROWS($B$18:B113)-1,COLUMN(INDIRECT(D$9&amp;1)),,,D$6))-D$10)/(D$11-D$10)*(D$13-D$12))*IF(D$14&lt;&gt;"",D$14,1))</f>
        <v>#N/A</v>
      </c>
      <c r="E113" s="4" t="e" cm="1">
        <f t="array" aca="1" ref="E113" ca="1">IF(ROWS(C$18:C113)&gt;E$8-E$7+1,
   NA(),
   IF(OR(E$7="",E$8="",E$7=E$8),
      NA(),
      (INDIRECT(ADDRESS(E$7+ROWS($B$18:C113)-1,COLUMN(INDIRECT(E$9&amp;1)),,,E$6))-E$10)/(E$11-E$10)*(E$13-E$12))*IF(E$14&lt;&gt;"",E$14,1))</f>
        <v>#N/A</v>
      </c>
      <c r="F113" s="4" t="e" cm="1">
        <f t="array" aca="1" ref="F113" ca="1">IF(ROWS(D$18:D113)&gt;F$8-F$7+1,
   NA(),
   IF(OR(F$7="",F$8="",F$7=F$8),
      NA(),
      (INDIRECT(ADDRESS(F$7+ROWS($B$18:D113)-1,COLUMN(INDIRECT(F$9&amp;1)),,,F$6))-F$10)/(F$11-F$10)*(F$13-F$12))*IF(F$14&lt;&gt;"",F$14,1))</f>
        <v>#N/A</v>
      </c>
      <c r="I113" s="3" t="e" cm="1">
        <f t="array" aca="1" ref="I113" ca="1">IF(ROWS(G$18:G113)&gt;I$8-I$7+1,
   NA(),
   IF(OR(I$7="",I$8="",I$7=I$8),
      NA(),
      (INDIRECT(ADDRESS(I$7+ROWS($B$18:G113)-1,COLUMN(INDIRECT(I$9&amp;1)),,,I$6))-I$10)/(I$11-I$10)*(I$13-I$12))*IF(I$14&lt;&gt;"",I$14,1))</f>
        <v>#N/A</v>
      </c>
      <c r="J113" s="4" t="e" cm="1">
        <f t="array" aca="1" ref="J113" ca="1">IF(ROWS(H$18:H113)&gt;J$8-J$7+1,
   NA(),
   IF(OR(J$7="",J$8="",J$7=J$8),
      NA(),
      (INDIRECT(ADDRESS(J$7+ROWS($B$18:H113)-1,COLUMN(INDIRECT(J$9&amp;1)),,,J$6))-J$10)/(J$11-J$10)*(J$13-J$12))*IF(J$14&lt;&gt;"",J$14,1))</f>
        <v>#N/A</v>
      </c>
      <c r="K113" s="4" t="e" cm="1">
        <f t="array" aca="1" ref="K113" ca="1">IF(ROWS(I$18:I113)&gt;K$8-K$7+1,
   NA(),
   IF(OR(K$7="",K$8="",K$7=K$8),
      NA(),
      (INDIRECT(ADDRESS(K$7+ROWS($B$18:I113)-1,COLUMN(INDIRECT(K$9&amp;1)),,,K$6))-K$10)/(K$11-K$10)*(K$13-K$12))*IF(K$14&lt;&gt;"",K$14,1))</f>
        <v>#N/A</v>
      </c>
      <c r="L113" s="4" t="e" cm="1">
        <f t="array" aca="1" ref="L113" ca="1">IF(ROWS(J$18:J113)&gt;L$8-L$7+1,
   NA(),
   IF(OR(L$7="",L$8="",L$7=L$8),
      NA(),
      (INDIRECT(ADDRESS(L$7+ROWS($B$18:J113)-1,COLUMN(INDIRECT(L$9&amp;1)),,,L$6))-L$10)/(L$11-L$10)*(L$13-L$12))*IF(L$14&lt;&gt;"",L$14,1))</f>
        <v>#N/A</v>
      </c>
    </row>
    <row r="114" spans="3:12" x14ac:dyDescent="0.2">
      <c r="C114" s="3" t="e" cm="1">
        <f t="array" aca="1" ref="C114" ca="1">IF(ROWS(A$18:A114)&gt;C$8-C$7+1,
   NA(),
   IF(OR(C$7="",C$8="",C$7=C$8),
      NA(),
      (INDIRECT(ADDRESS(C$7+ROWS(A$18:$B114)-1,COLUMN(INDIRECT(C$9&amp;1)),,,C$6))-C$10)/(C$11-C$10)*(C$13-C$12))*IF(C$14&lt;&gt;"",C$14,1))</f>
        <v>#N/A</v>
      </c>
      <c r="D114" s="4" t="e" cm="1">
        <f t="array" aca="1" ref="D114" ca="1">IF(ROWS(B$18:B114)&gt;D$8-D$7+1,
   NA(),
   IF(OR(D$7="",D$8="",D$7=D$8),
      NA(),
      (INDIRECT(ADDRESS(D$7+ROWS($B$18:B114)-1,COLUMN(INDIRECT(D$9&amp;1)),,,D$6))-D$10)/(D$11-D$10)*(D$13-D$12))*IF(D$14&lt;&gt;"",D$14,1))</f>
        <v>#N/A</v>
      </c>
      <c r="E114" s="4" t="e" cm="1">
        <f t="array" aca="1" ref="E114" ca="1">IF(ROWS(C$18:C114)&gt;E$8-E$7+1,
   NA(),
   IF(OR(E$7="",E$8="",E$7=E$8),
      NA(),
      (INDIRECT(ADDRESS(E$7+ROWS($B$18:C114)-1,COLUMN(INDIRECT(E$9&amp;1)),,,E$6))-E$10)/(E$11-E$10)*(E$13-E$12))*IF(E$14&lt;&gt;"",E$14,1))</f>
        <v>#N/A</v>
      </c>
      <c r="F114" s="4" t="e" cm="1">
        <f t="array" aca="1" ref="F114" ca="1">IF(ROWS(D$18:D114)&gt;F$8-F$7+1,
   NA(),
   IF(OR(F$7="",F$8="",F$7=F$8),
      NA(),
      (INDIRECT(ADDRESS(F$7+ROWS($B$18:D114)-1,COLUMN(INDIRECT(F$9&amp;1)),,,F$6))-F$10)/(F$11-F$10)*(F$13-F$12))*IF(F$14&lt;&gt;"",F$14,1))</f>
        <v>#N/A</v>
      </c>
      <c r="I114" s="3" t="e" cm="1">
        <f t="array" aca="1" ref="I114" ca="1">IF(ROWS(G$18:G114)&gt;I$8-I$7+1,
   NA(),
   IF(OR(I$7="",I$8="",I$7=I$8),
      NA(),
      (INDIRECT(ADDRESS(I$7+ROWS($B$18:G114)-1,COLUMN(INDIRECT(I$9&amp;1)),,,I$6))-I$10)/(I$11-I$10)*(I$13-I$12))*IF(I$14&lt;&gt;"",I$14,1))</f>
        <v>#N/A</v>
      </c>
      <c r="J114" s="4" t="e" cm="1">
        <f t="array" aca="1" ref="J114" ca="1">IF(ROWS(H$18:H114)&gt;J$8-J$7+1,
   NA(),
   IF(OR(J$7="",J$8="",J$7=J$8),
      NA(),
      (INDIRECT(ADDRESS(J$7+ROWS($B$18:H114)-1,COLUMN(INDIRECT(J$9&amp;1)),,,J$6))-J$10)/(J$11-J$10)*(J$13-J$12))*IF(J$14&lt;&gt;"",J$14,1))</f>
        <v>#N/A</v>
      </c>
      <c r="K114" s="4" t="e" cm="1">
        <f t="array" aca="1" ref="K114" ca="1">IF(ROWS(I$18:I114)&gt;K$8-K$7+1,
   NA(),
   IF(OR(K$7="",K$8="",K$7=K$8),
      NA(),
      (INDIRECT(ADDRESS(K$7+ROWS($B$18:I114)-1,COLUMN(INDIRECT(K$9&amp;1)),,,K$6))-K$10)/(K$11-K$10)*(K$13-K$12))*IF(K$14&lt;&gt;"",K$14,1))</f>
        <v>#N/A</v>
      </c>
      <c r="L114" s="4" t="e" cm="1">
        <f t="array" aca="1" ref="L114" ca="1">IF(ROWS(J$18:J114)&gt;L$8-L$7+1,
   NA(),
   IF(OR(L$7="",L$8="",L$7=L$8),
      NA(),
      (INDIRECT(ADDRESS(L$7+ROWS($B$18:J114)-1,COLUMN(INDIRECT(L$9&amp;1)),,,L$6))-L$10)/(L$11-L$10)*(L$13-L$12))*IF(L$14&lt;&gt;"",L$14,1))</f>
        <v>#N/A</v>
      </c>
    </row>
    <row r="115" spans="3:12" x14ac:dyDescent="0.2">
      <c r="C115" s="3" t="e" cm="1">
        <f t="array" aca="1" ref="C115" ca="1">IF(ROWS(A$18:A115)&gt;C$8-C$7+1,
   NA(),
   IF(OR(C$7="",C$8="",C$7=C$8),
      NA(),
      (INDIRECT(ADDRESS(C$7+ROWS(A$18:$B115)-1,COLUMN(INDIRECT(C$9&amp;1)),,,C$6))-C$10)/(C$11-C$10)*(C$13-C$12))*IF(C$14&lt;&gt;"",C$14,1))</f>
        <v>#N/A</v>
      </c>
      <c r="D115" s="4" t="e" cm="1">
        <f t="array" aca="1" ref="D115" ca="1">IF(ROWS(B$18:B115)&gt;D$8-D$7+1,
   NA(),
   IF(OR(D$7="",D$8="",D$7=D$8),
      NA(),
      (INDIRECT(ADDRESS(D$7+ROWS($B$18:B115)-1,COLUMN(INDIRECT(D$9&amp;1)),,,D$6))-D$10)/(D$11-D$10)*(D$13-D$12))*IF(D$14&lt;&gt;"",D$14,1))</f>
        <v>#N/A</v>
      </c>
      <c r="E115" s="4" t="e" cm="1">
        <f t="array" aca="1" ref="E115" ca="1">IF(ROWS(C$18:C115)&gt;E$8-E$7+1,
   NA(),
   IF(OR(E$7="",E$8="",E$7=E$8),
      NA(),
      (INDIRECT(ADDRESS(E$7+ROWS($B$18:C115)-1,COLUMN(INDIRECT(E$9&amp;1)),,,E$6))-E$10)/(E$11-E$10)*(E$13-E$12))*IF(E$14&lt;&gt;"",E$14,1))</f>
        <v>#N/A</v>
      </c>
      <c r="F115" s="4" t="e" cm="1">
        <f t="array" aca="1" ref="F115" ca="1">IF(ROWS(D$18:D115)&gt;F$8-F$7+1,
   NA(),
   IF(OR(F$7="",F$8="",F$7=F$8),
      NA(),
      (INDIRECT(ADDRESS(F$7+ROWS($B$18:D115)-1,COLUMN(INDIRECT(F$9&amp;1)),,,F$6))-F$10)/(F$11-F$10)*(F$13-F$12))*IF(F$14&lt;&gt;"",F$14,1))</f>
        <v>#N/A</v>
      </c>
      <c r="I115" s="3" t="e" cm="1">
        <f t="array" aca="1" ref="I115" ca="1">IF(ROWS(G$18:G115)&gt;I$8-I$7+1,
   NA(),
   IF(OR(I$7="",I$8="",I$7=I$8),
      NA(),
      (INDIRECT(ADDRESS(I$7+ROWS($B$18:G115)-1,COLUMN(INDIRECT(I$9&amp;1)),,,I$6))-I$10)/(I$11-I$10)*(I$13-I$12))*IF(I$14&lt;&gt;"",I$14,1))</f>
        <v>#N/A</v>
      </c>
      <c r="J115" s="4" t="e" cm="1">
        <f t="array" aca="1" ref="J115" ca="1">IF(ROWS(H$18:H115)&gt;J$8-J$7+1,
   NA(),
   IF(OR(J$7="",J$8="",J$7=J$8),
      NA(),
      (INDIRECT(ADDRESS(J$7+ROWS($B$18:H115)-1,COLUMN(INDIRECT(J$9&amp;1)),,,J$6))-J$10)/(J$11-J$10)*(J$13-J$12))*IF(J$14&lt;&gt;"",J$14,1))</f>
        <v>#N/A</v>
      </c>
      <c r="K115" s="4" t="e" cm="1">
        <f t="array" aca="1" ref="K115" ca="1">IF(ROWS(I$18:I115)&gt;K$8-K$7+1,
   NA(),
   IF(OR(K$7="",K$8="",K$7=K$8),
      NA(),
      (INDIRECT(ADDRESS(K$7+ROWS($B$18:I115)-1,COLUMN(INDIRECT(K$9&amp;1)),,,K$6))-K$10)/(K$11-K$10)*(K$13-K$12))*IF(K$14&lt;&gt;"",K$14,1))</f>
        <v>#N/A</v>
      </c>
      <c r="L115" s="4" t="e" cm="1">
        <f t="array" aca="1" ref="L115" ca="1">IF(ROWS(J$18:J115)&gt;L$8-L$7+1,
   NA(),
   IF(OR(L$7="",L$8="",L$7=L$8),
      NA(),
      (INDIRECT(ADDRESS(L$7+ROWS($B$18:J115)-1,COLUMN(INDIRECT(L$9&amp;1)),,,L$6))-L$10)/(L$11-L$10)*(L$13-L$12))*IF(L$14&lt;&gt;"",L$14,1))</f>
        <v>#N/A</v>
      </c>
    </row>
    <row r="116" spans="3:12" x14ac:dyDescent="0.2">
      <c r="C116" s="3" t="e" cm="1">
        <f t="array" aca="1" ref="C116" ca="1">IF(ROWS(A$18:A116)&gt;C$8-C$7+1,
   NA(),
   IF(OR(C$7="",C$8="",C$7=C$8),
      NA(),
      (INDIRECT(ADDRESS(C$7+ROWS(A$18:$B116)-1,COLUMN(INDIRECT(C$9&amp;1)),,,C$6))-C$10)/(C$11-C$10)*(C$13-C$12))*IF(C$14&lt;&gt;"",C$14,1))</f>
        <v>#N/A</v>
      </c>
      <c r="D116" s="4" t="e" cm="1">
        <f t="array" aca="1" ref="D116" ca="1">IF(ROWS(B$18:B116)&gt;D$8-D$7+1,
   NA(),
   IF(OR(D$7="",D$8="",D$7=D$8),
      NA(),
      (INDIRECT(ADDRESS(D$7+ROWS($B$18:B116)-1,COLUMN(INDIRECT(D$9&amp;1)),,,D$6))-D$10)/(D$11-D$10)*(D$13-D$12))*IF(D$14&lt;&gt;"",D$14,1))</f>
        <v>#N/A</v>
      </c>
      <c r="E116" s="4" t="e" cm="1">
        <f t="array" aca="1" ref="E116" ca="1">IF(ROWS(C$18:C116)&gt;E$8-E$7+1,
   NA(),
   IF(OR(E$7="",E$8="",E$7=E$8),
      NA(),
      (INDIRECT(ADDRESS(E$7+ROWS($B$18:C116)-1,COLUMN(INDIRECT(E$9&amp;1)),,,E$6))-E$10)/(E$11-E$10)*(E$13-E$12))*IF(E$14&lt;&gt;"",E$14,1))</f>
        <v>#N/A</v>
      </c>
      <c r="F116" s="4" t="e" cm="1">
        <f t="array" aca="1" ref="F116" ca="1">IF(ROWS(D$18:D116)&gt;F$8-F$7+1,
   NA(),
   IF(OR(F$7="",F$8="",F$7=F$8),
      NA(),
      (INDIRECT(ADDRESS(F$7+ROWS($B$18:D116)-1,COLUMN(INDIRECT(F$9&amp;1)),,,F$6))-F$10)/(F$11-F$10)*(F$13-F$12))*IF(F$14&lt;&gt;"",F$14,1))</f>
        <v>#N/A</v>
      </c>
      <c r="I116" s="3" t="e" cm="1">
        <f t="array" aca="1" ref="I116" ca="1">IF(ROWS(G$18:G116)&gt;I$8-I$7+1,
   NA(),
   IF(OR(I$7="",I$8="",I$7=I$8),
      NA(),
      (INDIRECT(ADDRESS(I$7+ROWS($B$18:G116)-1,COLUMN(INDIRECT(I$9&amp;1)),,,I$6))-I$10)/(I$11-I$10)*(I$13-I$12))*IF(I$14&lt;&gt;"",I$14,1))</f>
        <v>#N/A</v>
      </c>
      <c r="J116" s="4" t="e" cm="1">
        <f t="array" aca="1" ref="J116" ca="1">IF(ROWS(H$18:H116)&gt;J$8-J$7+1,
   NA(),
   IF(OR(J$7="",J$8="",J$7=J$8),
      NA(),
      (INDIRECT(ADDRESS(J$7+ROWS($B$18:H116)-1,COLUMN(INDIRECT(J$9&amp;1)),,,J$6))-J$10)/(J$11-J$10)*(J$13-J$12))*IF(J$14&lt;&gt;"",J$14,1))</f>
        <v>#N/A</v>
      </c>
      <c r="K116" s="4" t="e" cm="1">
        <f t="array" aca="1" ref="K116" ca="1">IF(ROWS(I$18:I116)&gt;K$8-K$7+1,
   NA(),
   IF(OR(K$7="",K$8="",K$7=K$8),
      NA(),
      (INDIRECT(ADDRESS(K$7+ROWS($B$18:I116)-1,COLUMN(INDIRECT(K$9&amp;1)),,,K$6))-K$10)/(K$11-K$10)*(K$13-K$12))*IF(K$14&lt;&gt;"",K$14,1))</f>
        <v>#N/A</v>
      </c>
      <c r="L116" s="4" t="e" cm="1">
        <f t="array" aca="1" ref="L116" ca="1">IF(ROWS(J$18:J116)&gt;L$8-L$7+1,
   NA(),
   IF(OR(L$7="",L$8="",L$7=L$8),
      NA(),
      (INDIRECT(ADDRESS(L$7+ROWS($B$18:J116)-1,COLUMN(INDIRECT(L$9&amp;1)),,,L$6))-L$10)/(L$11-L$10)*(L$13-L$12))*IF(L$14&lt;&gt;"",L$14,1))</f>
        <v>#N/A</v>
      </c>
    </row>
    <row r="117" spans="3:12" x14ac:dyDescent="0.2">
      <c r="C117" s="3" t="e" cm="1">
        <f t="array" aca="1" ref="C117" ca="1">IF(ROWS(A$18:A117)&gt;C$8-C$7+1,
   NA(),
   IF(OR(C$7="",C$8="",C$7=C$8),
      NA(),
      (INDIRECT(ADDRESS(C$7+ROWS(A$18:$B117)-1,COLUMN(INDIRECT(C$9&amp;1)),,,C$6))-C$10)/(C$11-C$10)*(C$13-C$12))*IF(C$14&lt;&gt;"",C$14,1))</f>
        <v>#N/A</v>
      </c>
      <c r="D117" s="4" t="e" cm="1">
        <f t="array" aca="1" ref="D117" ca="1">IF(ROWS(B$18:B117)&gt;D$8-D$7+1,
   NA(),
   IF(OR(D$7="",D$8="",D$7=D$8),
      NA(),
      (INDIRECT(ADDRESS(D$7+ROWS($B$18:B117)-1,COLUMN(INDIRECT(D$9&amp;1)),,,D$6))-D$10)/(D$11-D$10)*(D$13-D$12))*IF(D$14&lt;&gt;"",D$14,1))</f>
        <v>#N/A</v>
      </c>
      <c r="E117" s="4" t="e" cm="1">
        <f t="array" aca="1" ref="E117" ca="1">IF(ROWS(C$18:C117)&gt;E$8-E$7+1,
   NA(),
   IF(OR(E$7="",E$8="",E$7=E$8),
      NA(),
      (INDIRECT(ADDRESS(E$7+ROWS($B$18:C117)-1,COLUMN(INDIRECT(E$9&amp;1)),,,E$6))-E$10)/(E$11-E$10)*(E$13-E$12))*IF(E$14&lt;&gt;"",E$14,1))</f>
        <v>#N/A</v>
      </c>
      <c r="F117" s="4" t="e" cm="1">
        <f t="array" aca="1" ref="F117" ca="1">IF(ROWS(D$18:D117)&gt;F$8-F$7+1,
   NA(),
   IF(OR(F$7="",F$8="",F$7=F$8),
      NA(),
      (INDIRECT(ADDRESS(F$7+ROWS($B$18:D117)-1,COLUMN(INDIRECT(F$9&amp;1)),,,F$6))-F$10)/(F$11-F$10)*(F$13-F$12))*IF(F$14&lt;&gt;"",F$14,1))</f>
        <v>#N/A</v>
      </c>
      <c r="I117" s="3" t="e" cm="1">
        <f t="array" aca="1" ref="I117" ca="1">IF(ROWS(G$18:G117)&gt;I$8-I$7+1,
   NA(),
   IF(OR(I$7="",I$8="",I$7=I$8),
      NA(),
      (INDIRECT(ADDRESS(I$7+ROWS($B$18:G117)-1,COLUMN(INDIRECT(I$9&amp;1)),,,I$6))-I$10)/(I$11-I$10)*(I$13-I$12))*IF(I$14&lt;&gt;"",I$14,1))</f>
        <v>#N/A</v>
      </c>
      <c r="J117" s="4" t="e" cm="1">
        <f t="array" aca="1" ref="J117" ca="1">IF(ROWS(H$18:H117)&gt;J$8-J$7+1,
   NA(),
   IF(OR(J$7="",J$8="",J$7=J$8),
      NA(),
      (INDIRECT(ADDRESS(J$7+ROWS($B$18:H117)-1,COLUMN(INDIRECT(J$9&amp;1)),,,J$6))-J$10)/(J$11-J$10)*(J$13-J$12))*IF(J$14&lt;&gt;"",J$14,1))</f>
        <v>#N/A</v>
      </c>
      <c r="K117" s="4" t="e" cm="1">
        <f t="array" aca="1" ref="K117" ca="1">IF(ROWS(I$18:I117)&gt;K$8-K$7+1,
   NA(),
   IF(OR(K$7="",K$8="",K$7=K$8),
      NA(),
      (INDIRECT(ADDRESS(K$7+ROWS($B$18:I117)-1,COLUMN(INDIRECT(K$9&amp;1)),,,K$6))-K$10)/(K$11-K$10)*(K$13-K$12))*IF(K$14&lt;&gt;"",K$14,1))</f>
        <v>#N/A</v>
      </c>
      <c r="L117" s="4" t="e" cm="1">
        <f t="array" aca="1" ref="L117" ca="1">IF(ROWS(J$18:J117)&gt;L$8-L$7+1,
   NA(),
   IF(OR(L$7="",L$8="",L$7=L$8),
      NA(),
      (INDIRECT(ADDRESS(L$7+ROWS($B$18:J117)-1,COLUMN(INDIRECT(L$9&amp;1)),,,L$6))-L$10)/(L$11-L$10)*(L$13-L$12))*IF(L$14&lt;&gt;"",L$14,1))</f>
        <v>#N/A</v>
      </c>
    </row>
    <row r="118" spans="3:12" x14ac:dyDescent="0.2">
      <c r="C118" s="3" t="e" cm="1">
        <f t="array" aca="1" ref="C118" ca="1">IF(ROWS(A$18:A118)&gt;C$8-C$7+1,
   NA(),
   IF(OR(C$7="",C$8="",C$7=C$8),
      NA(),
      (INDIRECT(ADDRESS(C$7+ROWS(A$18:$B118)-1,COLUMN(INDIRECT(C$9&amp;1)),,,C$6))-C$10)/(C$11-C$10)*(C$13-C$12))*IF(C$14&lt;&gt;"",C$14,1))</f>
        <v>#N/A</v>
      </c>
      <c r="D118" s="4" t="e" cm="1">
        <f t="array" aca="1" ref="D118" ca="1">IF(ROWS(B$18:B118)&gt;D$8-D$7+1,
   NA(),
   IF(OR(D$7="",D$8="",D$7=D$8),
      NA(),
      (INDIRECT(ADDRESS(D$7+ROWS($B$18:B118)-1,COLUMN(INDIRECT(D$9&amp;1)),,,D$6))-D$10)/(D$11-D$10)*(D$13-D$12))*IF(D$14&lt;&gt;"",D$14,1))</f>
        <v>#N/A</v>
      </c>
      <c r="E118" s="4" t="e" cm="1">
        <f t="array" aca="1" ref="E118" ca="1">IF(ROWS(C$18:C118)&gt;E$8-E$7+1,
   NA(),
   IF(OR(E$7="",E$8="",E$7=E$8),
      NA(),
      (INDIRECT(ADDRESS(E$7+ROWS($B$18:C118)-1,COLUMN(INDIRECT(E$9&amp;1)),,,E$6))-E$10)/(E$11-E$10)*(E$13-E$12))*IF(E$14&lt;&gt;"",E$14,1))</f>
        <v>#N/A</v>
      </c>
      <c r="F118" s="4" t="e" cm="1">
        <f t="array" aca="1" ref="F118" ca="1">IF(ROWS(D$18:D118)&gt;F$8-F$7+1,
   NA(),
   IF(OR(F$7="",F$8="",F$7=F$8),
      NA(),
      (INDIRECT(ADDRESS(F$7+ROWS($B$18:D118)-1,COLUMN(INDIRECT(F$9&amp;1)),,,F$6))-F$10)/(F$11-F$10)*(F$13-F$12))*IF(F$14&lt;&gt;"",F$14,1))</f>
        <v>#N/A</v>
      </c>
      <c r="I118" s="3" t="e" cm="1">
        <f t="array" aca="1" ref="I118" ca="1">IF(ROWS(G$18:G118)&gt;I$8-I$7+1,
   NA(),
   IF(OR(I$7="",I$8="",I$7=I$8),
      NA(),
      (INDIRECT(ADDRESS(I$7+ROWS($B$18:G118)-1,COLUMN(INDIRECT(I$9&amp;1)),,,I$6))-I$10)/(I$11-I$10)*(I$13-I$12))*IF(I$14&lt;&gt;"",I$14,1))</f>
        <v>#N/A</v>
      </c>
      <c r="J118" s="4" t="e" cm="1">
        <f t="array" aca="1" ref="J118" ca="1">IF(ROWS(H$18:H118)&gt;J$8-J$7+1,
   NA(),
   IF(OR(J$7="",J$8="",J$7=J$8),
      NA(),
      (INDIRECT(ADDRESS(J$7+ROWS($B$18:H118)-1,COLUMN(INDIRECT(J$9&amp;1)),,,J$6))-J$10)/(J$11-J$10)*(J$13-J$12))*IF(J$14&lt;&gt;"",J$14,1))</f>
        <v>#N/A</v>
      </c>
      <c r="K118" s="4" t="e" cm="1">
        <f t="array" aca="1" ref="K118" ca="1">IF(ROWS(I$18:I118)&gt;K$8-K$7+1,
   NA(),
   IF(OR(K$7="",K$8="",K$7=K$8),
      NA(),
      (INDIRECT(ADDRESS(K$7+ROWS($B$18:I118)-1,COLUMN(INDIRECT(K$9&amp;1)),,,K$6))-K$10)/(K$11-K$10)*(K$13-K$12))*IF(K$14&lt;&gt;"",K$14,1))</f>
        <v>#N/A</v>
      </c>
      <c r="L118" s="4" t="e" cm="1">
        <f t="array" aca="1" ref="L118" ca="1">IF(ROWS(J$18:J118)&gt;L$8-L$7+1,
   NA(),
   IF(OR(L$7="",L$8="",L$7=L$8),
      NA(),
      (INDIRECT(ADDRESS(L$7+ROWS($B$18:J118)-1,COLUMN(INDIRECT(L$9&amp;1)),,,L$6))-L$10)/(L$11-L$10)*(L$13-L$12))*IF(L$14&lt;&gt;"",L$14,1))</f>
        <v>#N/A</v>
      </c>
    </row>
    <row r="119" spans="3:12" x14ac:dyDescent="0.2">
      <c r="C119" s="3" t="e" cm="1">
        <f t="array" aca="1" ref="C119" ca="1">IF(ROWS(A$18:A119)&gt;C$8-C$7+1,
   NA(),
   IF(OR(C$7="",C$8="",C$7=C$8),
      NA(),
      (INDIRECT(ADDRESS(C$7+ROWS(A$18:$B119)-1,COLUMN(INDIRECT(C$9&amp;1)),,,C$6))-C$10)/(C$11-C$10)*(C$13-C$12))*IF(C$14&lt;&gt;"",C$14,1))</f>
        <v>#N/A</v>
      </c>
      <c r="D119" s="4" t="e" cm="1">
        <f t="array" aca="1" ref="D119" ca="1">IF(ROWS(B$18:B119)&gt;D$8-D$7+1,
   NA(),
   IF(OR(D$7="",D$8="",D$7=D$8),
      NA(),
      (INDIRECT(ADDRESS(D$7+ROWS($B$18:B119)-1,COLUMN(INDIRECT(D$9&amp;1)),,,D$6))-D$10)/(D$11-D$10)*(D$13-D$12))*IF(D$14&lt;&gt;"",D$14,1))</f>
        <v>#N/A</v>
      </c>
      <c r="E119" s="4" t="e" cm="1">
        <f t="array" aca="1" ref="E119" ca="1">IF(ROWS(C$18:C119)&gt;E$8-E$7+1,
   NA(),
   IF(OR(E$7="",E$8="",E$7=E$8),
      NA(),
      (INDIRECT(ADDRESS(E$7+ROWS($B$18:C119)-1,COLUMN(INDIRECT(E$9&amp;1)),,,E$6))-E$10)/(E$11-E$10)*(E$13-E$12))*IF(E$14&lt;&gt;"",E$14,1))</f>
        <v>#N/A</v>
      </c>
      <c r="F119" s="4" t="e" cm="1">
        <f t="array" aca="1" ref="F119" ca="1">IF(ROWS(D$18:D119)&gt;F$8-F$7+1,
   NA(),
   IF(OR(F$7="",F$8="",F$7=F$8),
      NA(),
      (INDIRECT(ADDRESS(F$7+ROWS($B$18:D119)-1,COLUMN(INDIRECT(F$9&amp;1)),,,F$6))-F$10)/(F$11-F$10)*(F$13-F$12))*IF(F$14&lt;&gt;"",F$14,1))</f>
        <v>#N/A</v>
      </c>
      <c r="I119" s="3" t="e" cm="1">
        <f t="array" aca="1" ref="I119" ca="1">IF(ROWS(G$18:G119)&gt;I$8-I$7+1,
   NA(),
   IF(OR(I$7="",I$8="",I$7=I$8),
      NA(),
      (INDIRECT(ADDRESS(I$7+ROWS($B$18:G119)-1,COLUMN(INDIRECT(I$9&amp;1)),,,I$6))-I$10)/(I$11-I$10)*(I$13-I$12))*IF(I$14&lt;&gt;"",I$14,1))</f>
        <v>#N/A</v>
      </c>
      <c r="J119" s="4" t="e" cm="1">
        <f t="array" aca="1" ref="J119" ca="1">IF(ROWS(H$18:H119)&gt;J$8-J$7+1,
   NA(),
   IF(OR(J$7="",J$8="",J$7=J$8),
      NA(),
      (INDIRECT(ADDRESS(J$7+ROWS($B$18:H119)-1,COLUMN(INDIRECT(J$9&amp;1)),,,J$6))-J$10)/(J$11-J$10)*(J$13-J$12))*IF(J$14&lt;&gt;"",J$14,1))</f>
        <v>#N/A</v>
      </c>
      <c r="K119" s="4" t="e" cm="1">
        <f t="array" aca="1" ref="K119" ca="1">IF(ROWS(I$18:I119)&gt;K$8-K$7+1,
   NA(),
   IF(OR(K$7="",K$8="",K$7=K$8),
      NA(),
      (INDIRECT(ADDRESS(K$7+ROWS($B$18:I119)-1,COLUMN(INDIRECT(K$9&amp;1)),,,K$6))-K$10)/(K$11-K$10)*(K$13-K$12))*IF(K$14&lt;&gt;"",K$14,1))</f>
        <v>#N/A</v>
      </c>
      <c r="L119" s="4" t="e" cm="1">
        <f t="array" aca="1" ref="L119" ca="1">IF(ROWS(J$18:J119)&gt;L$8-L$7+1,
   NA(),
   IF(OR(L$7="",L$8="",L$7=L$8),
      NA(),
      (INDIRECT(ADDRESS(L$7+ROWS($B$18:J119)-1,COLUMN(INDIRECT(L$9&amp;1)),,,L$6))-L$10)/(L$11-L$10)*(L$13-L$12))*IF(L$14&lt;&gt;"",L$14,1))</f>
        <v>#N/A</v>
      </c>
    </row>
    <row r="120" spans="3:12" x14ac:dyDescent="0.2">
      <c r="C120" s="3" t="e" cm="1">
        <f t="array" aca="1" ref="C120" ca="1">IF(ROWS(A$18:A120)&gt;C$8-C$7+1,
   NA(),
   IF(OR(C$7="",C$8="",C$7=C$8),
      NA(),
      (INDIRECT(ADDRESS(C$7+ROWS(A$18:$B120)-1,COLUMN(INDIRECT(C$9&amp;1)),,,C$6))-C$10)/(C$11-C$10)*(C$13-C$12))*IF(C$14&lt;&gt;"",C$14,1))</f>
        <v>#N/A</v>
      </c>
      <c r="D120" s="4" t="e" cm="1">
        <f t="array" aca="1" ref="D120" ca="1">IF(ROWS(B$18:B120)&gt;D$8-D$7+1,
   NA(),
   IF(OR(D$7="",D$8="",D$7=D$8),
      NA(),
      (INDIRECT(ADDRESS(D$7+ROWS($B$18:B120)-1,COLUMN(INDIRECT(D$9&amp;1)),,,D$6))-D$10)/(D$11-D$10)*(D$13-D$12))*IF(D$14&lt;&gt;"",D$14,1))</f>
        <v>#N/A</v>
      </c>
      <c r="E120" s="4" t="e" cm="1">
        <f t="array" aca="1" ref="E120" ca="1">IF(ROWS(C$18:C120)&gt;E$8-E$7+1,
   NA(),
   IF(OR(E$7="",E$8="",E$7=E$8),
      NA(),
      (INDIRECT(ADDRESS(E$7+ROWS($B$18:C120)-1,COLUMN(INDIRECT(E$9&amp;1)),,,E$6))-E$10)/(E$11-E$10)*(E$13-E$12))*IF(E$14&lt;&gt;"",E$14,1))</f>
        <v>#N/A</v>
      </c>
      <c r="F120" s="4" t="e" cm="1">
        <f t="array" aca="1" ref="F120" ca="1">IF(ROWS(D$18:D120)&gt;F$8-F$7+1,
   NA(),
   IF(OR(F$7="",F$8="",F$7=F$8),
      NA(),
      (INDIRECT(ADDRESS(F$7+ROWS($B$18:D120)-1,COLUMN(INDIRECT(F$9&amp;1)),,,F$6))-F$10)/(F$11-F$10)*(F$13-F$12))*IF(F$14&lt;&gt;"",F$14,1))</f>
        <v>#N/A</v>
      </c>
      <c r="I120" s="3" t="e" cm="1">
        <f t="array" aca="1" ref="I120" ca="1">IF(ROWS(G$18:G120)&gt;I$8-I$7+1,
   NA(),
   IF(OR(I$7="",I$8="",I$7=I$8),
      NA(),
      (INDIRECT(ADDRESS(I$7+ROWS($B$18:G120)-1,COLUMN(INDIRECT(I$9&amp;1)),,,I$6))-I$10)/(I$11-I$10)*(I$13-I$12))*IF(I$14&lt;&gt;"",I$14,1))</f>
        <v>#N/A</v>
      </c>
      <c r="J120" s="4" t="e" cm="1">
        <f t="array" aca="1" ref="J120" ca="1">IF(ROWS(H$18:H120)&gt;J$8-J$7+1,
   NA(),
   IF(OR(J$7="",J$8="",J$7=J$8),
      NA(),
      (INDIRECT(ADDRESS(J$7+ROWS($B$18:H120)-1,COLUMN(INDIRECT(J$9&amp;1)),,,J$6))-J$10)/(J$11-J$10)*(J$13-J$12))*IF(J$14&lt;&gt;"",J$14,1))</f>
        <v>#N/A</v>
      </c>
      <c r="K120" s="4" t="e" cm="1">
        <f t="array" aca="1" ref="K120" ca="1">IF(ROWS(I$18:I120)&gt;K$8-K$7+1,
   NA(),
   IF(OR(K$7="",K$8="",K$7=K$8),
      NA(),
      (INDIRECT(ADDRESS(K$7+ROWS($B$18:I120)-1,COLUMN(INDIRECT(K$9&amp;1)),,,K$6))-K$10)/(K$11-K$10)*(K$13-K$12))*IF(K$14&lt;&gt;"",K$14,1))</f>
        <v>#N/A</v>
      </c>
      <c r="L120" s="4" t="e" cm="1">
        <f t="array" aca="1" ref="L120" ca="1">IF(ROWS(J$18:J120)&gt;L$8-L$7+1,
   NA(),
   IF(OR(L$7="",L$8="",L$7=L$8),
      NA(),
      (INDIRECT(ADDRESS(L$7+ROWS($B$18:J120)-1,COLUMN(INDIRECT(L$9&amp;1)),,,L$6))-L$10)/(L$11-L$10)*(L$13-L$12))*IF(L$14&lt;&gt;"",L$14,1))</f>
        <v>#N/A</v>
      </c>
    </row>
    <row r="121" spans="3:12" x14ac:dyDescent="0.2">
      <c r="C121" s="3" t="e" cm="1">
        <f t="array" aca="1" ref="C121" ca="1">IF(ROWS(A$18:A121)&gt;C$8-C$7+1,
   NA(),
   IF(OR(C$7="",C$8="",C$7=C$8),
      NA(),
      (INDIRECT(ADDRESS(C$7+ROWS(A$18:$B121)-1,COLUMN(INDIRECT(C$9&amp;1)),,,C$6))-C$10)/(C$11-C$10)*(C$13-C$12))*IF(C$14&lt;&gt;"",C$14,1))</f>
        <v>#N/A</v>
      </c>
      <c r="D121" s="4" t="e" cm="1">
        <f t="array" aca="1" ref="D121" ca="1">IF(ROWS(B$18:B121)&gt;D$8-D$7+1,
   NA(),
   IF(OR(D$7="",D$8="",D$7=D$8),
      NA(),
      (INDIRECT(ADDRESS(D$7+ROWS($B$18:B121)-1,COLUMN(INDIRECT(D$9&amp;1)),,,D$6))-D$10)/(D$11-D$10)*(D$13-D$12))*IF(D$14&lt;&gt;"",D$14,1))</f>
        <v>#N/A</v>
      </c>
      <c r="E121" s="4" t="e" cm="1">
        <f t="array" aca="1" ref="E121" ca="1">IF(ROWS(C$18:C121)&gt;E$8-E$7+1,
   NA(),
   IF(OR(E$7="",E$8="",E$7=E$8),
      NA(),
      (INDIRECT(ADDRESS(E$7+ROWS($B$18:C121)-1,COLUMN(INDIRECT(E$9&amp;1)),,,E$6))-E$10)/(E$11-E$10)*(E$13-E$12))*IF(E$14&lt;&gt;"",E$14,1))</f>
        <v>#N/A</v>
      </c>
      <c r="F121" s="4" t="e" cm="1">
        <f t="array" aca="1" ref="F121" ca="1">IF(ROWS(D$18:D121)&gt;F$8-F$7+1,
   NA(),
   IF(OR(F$7="",F$8="",F$7=F$8),
      NA(),
      (INDIRECT(ADDRESS(F$7+ROWS($B$18:D121)-1,COLUMN(INDIRECT(F$9&amp;1)),,,F$6))-F$10)/(F$11-F$10)*(F$13-F$12))*IF(F$14&lt;&gt;"",F$14,1))</f>
        <v>#N/A</v>
      </c>
      <c r="I121" s="3" t="e" cm="1">
        <f t="array" aca="1" ref="I121" ca="1">IF(ROWS(G$18:G121)&gt;I$8-I$7+1,
   NA(),
   IF(OR(I$7="",I$8="",I$7=I$8),
      NA(),
      (INDIRECT(ADDRESS(I$7+ROWS($B$18:G121)-1,COLUMN(INDIRECT(I$9&amp;1)),,,I$6))-I$10)/(I$11-I$10)*(I$13-I$12))*IF(I$14&lt;&gt;"",I$14,1))</f>
        <v>#N/A</v>
      </c>
      <c r="J121" s="4" t="e" cm="1">
        <f t="array" aca="1" ref="J121" ca="1">IF(ROWS(H$18:H121)&gt;J$8-J$7+1,
   NA(),
   IF(OR(J$7="",J$8="",J$7=J$8),
      NA(),
      (INDIRECT(ADDRESS(J$7+ROWS($B$18:H121)-1,COLUMN(INDIRECT(J$9&amp;1)),,,J$6))-J$10)/(J$11-J$10)*(J$13-J$12))*IF(J$14&lt;&gt;"",J$14,1))</f>
        <v>#N/A</v>
      </c>
      <c r="K121" s="4" t="e" cm="1">
        <f t="array" aca="1" ref="K121" ca="1">IF(ROWS(I$18:I121)&gt;K$8-K$7+1,
   NA(),
   IF(OR(K$7="",K$8="",K$7=K$8),
      NA(),
      (INDIRECT(ADDRESS(K$7+ROWS($B$18:I121)-1,COLUMN(INDIRECT(K$9&amp;1)),,,K$6))-K$10)/(K$11-K$10)*(K$13-K$12))*IF(K$14&lt;&gt;"",K$14,1))</f>
        <v>#N/A</v>
      </c>
      <c r="L121" s="4" t="e" cm="1">
        <f t="array" aca="1" ref="L121" ca="1">IF(ROWS(J$18:J121)&gt;L$8-L$7+1,
   NA(),
   IF(OR(L$7="",L$8="",L$7=L$8),
      NA(),
      (INDIRECT(ADDRESS(L$7+ROWS($B$18:J121)-1,COLUMN(INDIRECT(L$9&amp;1)),,,L$6))-L$10)/(L$11-L$10)*(L$13-L$12))*IF(L$14&lt;&gt;"",L$14,1))</f>
        <v>#N/A</v>
      </c>
    </row>
    <row r="122" spans="3:12" x14ac:dyDescent="0.2">
      <c r="C122" s="3" t="e" cm="1">
        <f t="array" aca="1" ref="C122" ca="1">IF(ROWS(A$18:A122)&gt;C$8-C$7+1,
   NA(),
   IF(OR(C$7="",C$8="",C$7=C$8),
      NA(),
      (INDIRECT(ADDRESS(C$7+ROWS(A$18:$B122)-1,COLUMN(INDIRECT(C$9&amp;1)),,,C$6))-C$10)/(C$11-C$10)*(C$13-C$12))*IF(C$14&lt;&gt;"",C$14,1))</f>
        <v>#N/A</v>
      </c>
      <c r="D122" s="4" t="e" cm="1">
        <f t="array" aca="1" ref="D122" ca="1">IF(ROWS(B$18:B122)&gt;D$8-D$7+1,
   NA(),
   IF(OR(D$7="",D$8="",D$7=D$8),
      NA(),
      (INDIRECT(ADDRESS(D$7+ROWS($B$18:B122)-1,COLUMN(INDIRECT(D$9&amp;1)),,,D$6))-D$10)/(D$11-D$10)*(D$13-D$12))*IF(D$14&lt;&gt;"",D$14,1))</f>
        <v>#N/A</v>
      </c>
      <c r="E122" s="4" t="e" cm="1">
        <f t="array" aca="1" ref="E122" ca="1">IF(ROWS(C$18:C122)&gt;E$8-E$7+1,
   NA(),
   IF(OR(E$7="",E$8="",E$7=E$8),
      NA(),
      (INDIRECT(ADDRESS(E$7+ROWS($B$18:C122)-1,COLUMN(INDIRECT(E$9&amp;1)),,,E$6))-E$10)/(E$11-E$10)*(E$13-E$12))*IF(E$14&lt;&gt;"",E$14,1))</f>
        <v>#N/A</v>
      </c>
      <c r="F122" s="4" t="e" cm="1">
        <f t="array" aca="1" ref="F122" ca="1">IF(ROWS(D$18:D122)&gt;F$8-F$7+1,
   NA(),
   IF(OR(F$7="",F$8="",F$7=F$8),
      NA(),
      (INDIRECT(ADDRESS(F$7+ROWS($B$18:D122)-1,COLUMN(INDIRECT(F$9&amp;1)),,,F$6))-F$10)/(F$11-F$10)*(F$13-F$12))*IF(F$14&lt;&gt;"",F$14,1))</f>
        <v>#N/A</v>
      </c>
      <c r="I122" s="3" t="e" cm="1">
        <f t="array" aca="1" ref="I122" ca="1">IF(ROWS(G$18:G122)&gt;I$8-I$7+1,
   NA(),
   IF(OR(I$7="",I$8="",I$7=I$8),
      NA(),
      (INDIRECT(ADDRESS(I$7+ROWS($B$18:G122)-1,COLUMN(INDIRECT(I$9&amp;1)),,,I$6))-I$10)/(I$11-I$10)*(I$13-I$12))*IF(I$14&lt;&gt;"",I$14,1))</f>
        <v>#N/A</v>
      </c>
      <c r="J122" s="4" t="e" cm="1">
        <f t="array" aca="1" ref="J122" ca="1">IF(ROWS(H$18:H122)&gt;J$8-J$7+1,
   NA(),
   IF(OR(J$7="",J$8="",J$7=J$8),
      NA(),
      (INDIRECT(ADDRESS(J$7+ROWS($B$18:H122)-1,COLUMN(INDIRECT(J$9&amp;1)),,,J$6))-J$10)/(J$11-J$10)*(J$13-J$12))*IF(J$14&lt;&gt;"",J$14,1))</f>
        <v>#N/A</v>
      </c>
      <c r="K122" s="4" t="e" cm="1">
        <f t="array" aca="1" ref="K122" ca="1">IF(ROWS(I$18:I122)&gt;K$8-K$7+1,
   NA(),
   IF(OR(K$7="",K$8="",K$7=K$8),
      NA(),
      (INDIRECT(ADDRESS(K$7+ROWS($B$18:I122)-1,COLUMN(INDIRECT(K$9&amp;1)),,,K$6))-K$10)/(K$11-K$10)*(K$13-K$12))*IF(K$14&lt;&gt;"",K$14,1))</f>
        <v>#N/A</v>
      </c>
      <c r="L122" s="4" t="e" cm="1">
        <f t="array" aca="1" ref="L122" ca="1">IF(ROWS(J$18:J122)&gt;L$8-L$7+1,
   NA(),
   IF(OR(L$7="",L$8="",L$7=L$8),
      NA(),
      (INDIRECT(ADDRESS(L$7+ROWS($B$18:J122)-1,COLUMN(INDIRECT(L$9&amp;1)),,,L$6))-L$10)/(L$11-L$10)*(L$13-L$12))*IF(L$14&lt;&gt;"",L$14,1))</f>
        <v>#N/A</v>
      </c>
    </row>
    <row r="123" spans="3:12" x14ac:dyDescent="0.2">
      <c r="C123" s="3" t="e" cm="1">
        <f t="array" aca="1" ref="C123" ca="1">IF(ROWS(A$18:A123)&gt;C$8-C$7+1,
   NA(),
   IF(OR(C$7="",C$8="",C$7=C$8),
      NA(),
      (INDIRECT(ADDRESS(C$7+ROWS(A$18:$B123)-1,COLUMN(INDIRECT(C$9&amp;1)),,,C$6))-C$10)/(C$11-C$10)*(C$13-C$12))*IF(C$14&lt;&gt;"",C$14,1))</f>
        <v>#N/A</v>
      </c>
      <c r="D123" s="4" t="e" cm="1">
        <f t="array" aca="1" ref="D123" ca="1">IF(ROWS(B$18:B123)&gt;D$8-D$7+1,
   NA(),
   IF(OR(D$7="",D$8="",D$7=D$8),
      NA(),
      (INDIRECT(ADDRESS(D$7+ROWS($B$18:B123)-1,COLUMN(INDIRECT(D$9&amp;1)),,,D$6))-D$10)/(D$11-D$10)*(D$13-D$12))*IF(D$14&lt;&gt;"",D$14,1))</f>
        <v>#N/A</v>
      </c>
      <c r="E123" s="4" t="e" cm="1">
        <f t="array" aca="1" ref="E123" ca="1">IF(ROWS(C$18:C123)&gt;E$8-E$7+1,
   NA(),
   IF(OR(E$7="",E$8="",E$7=E$8),
      NA(),
      (INDIRECT(ADDRESS(E$7+ROWS($B$18:C123)-1,COLUMN(INDIRECT(E$9&amp;1)),,,E$6))-E$10)/(E$11-E$10)*(E$13-E$12))*IF(E$14&lt;&gt;"",E$14,1))</f>
        <v>#N/A</v>
      </c>
      <c r="F123" s="4" t="e" cm="1">
        <f t="array" aca="1" ref="F123" ca="1">IF(ROWS(D$18:D123)&gt;F$8-F$7+1,
   NA(),
   IF(OR(F$7="",F$8="",F$7=F$8),
      NA(),
      (INDIRECT(ADDRESS(F$7+ROWS($B$18:D123)-1,COLUMN(INDIRECT(F$9&amp;1)),,,F$6))-F$10)/(F$11-F$10)*(F$13-F$12))*IF(F$14&lt;&gt;"",F$14,1))</f>
        <v>#N/A</v>
      </c>
      <c r="I123" s="3" t="e" cm="1">
        <f t="array" aca="1" ref="I123" ca="1">IF(ROWS(G$18:G123)&gt;I$8-I$7+1,
   NA(),
   IF(OR(I$7="",I$8="",I$7=I$8),
      NA(),
      (INDIRECT(ADDRESS(I$7+ROWS($B$18:G123)-1,COLUMN(INDIRECT(I$9&amp;1)),,,I$6))-I$10)/(I$11-I$10)*(I$13-I$12))*IF(I$14&lt;&gt;"",I$14,1))</f>
        <v>#N/A</v>
      </c>
      <c r="J123" s="4" t="e" cm="1">
        <f t="array" aca="1" ref="J123" ca="1">IF(ROWS(H$18:H123)&gt;J$8-J$7+1,
   NA(),
   IF(OR(J$7="",J$8="",J$7=J$8),
      NA(),
      (INDIRECT(ADDRESS(J$7+ROWS($B$18:H123)-1,COLUMN(INDIRECT(J$9&amp;1)),,,J$6))-J$10)/(J$11-J$10)*(J$13-J$12))*IF(J$14&lt;&gt;"",J$14,1))</f>
        <v>#N/A</v>
      </c>
      <c r="K123" s="4" t="e" cm="1">
        <f t="array" aca="1" ref="K123" ca="1">IF(ROWS(I$18:I123)&gt;K$8-K$7+1,
   NA(),
   IF(OR(K$7="",K$8="",K$7=K$8),
      NA(),
      (INDIRECT(ADDRESS(K$7+ROWS($B$18:I123)-1,COLUMN(INDIRECT(K$9&amp;1)),,,K$6))-K$10)/(K$11-K$10)*(K$13-K$12))*IF(K$14&lt;&gt;"",K$14,1))</f>
        <v>#N/A</v>
      </c>
      <c r="L123" s="4" t="e" cm="1">
        <f t="array" aca="1" ref="L123" ca="1">IF(ROWS(J$18:J123)&gt;L$8-L$7+1,
   NA(),
   IF(OR(L$7="",L$8="",L$7=L$8),
      NA(),
      (INDIRECT(ADDRESS(L$7+ROWS($B$18:J123)-1,COLUMN(INDIRECT(L$9&amp;1)),,,L$6))-L$10)/(L$11-L$10)*(L$13-L$12))*IF(L$14&lt;&gt;"",L$14,1))</f>
        <v>#N/A</v>
      </c>
    </row>
    <row r="124" spans="3:12" x14ac:dyDescent="0.2">
      <c r="C124" s="3" t="e" cm="1">
        <f t="array" aca="1" ref="C124" ca="1">IF(ROWS(A$18:A124)&gt;C$8-C$7+1,
   NA(),
   IF(OR(C$7="",C$8="",C$7=C$8),
      NA(),
      (INDIRECT(ADDRESS(C$7+ROWS(A$18:$B124)-1,COLUMN(INDIRECT(C$9&amp;1)),,,C$6))-C$10)/(C$11-C$10)*(C$13-C$12))*IF(C$14&lt;&gt;"",C$14,1))</f>
        <v>#N/A</v>
      </c>
      <c r="D124" s="4" t="e" cm="1">
        <f t="array" aca="1" ref="D124" ca="1">IF(ROWS(B$18:B124)&gt;D$8-D$7+1,
   NA(),
   IF(OR(D$7="",D$8="",D$7=D$8),
      NA(),
      (INDIRECT(ADDRESS(D$7+ROWS($B$18:B124)-1,COLUMN(INDIRECT(D$9&amp;1)),,,D$6))-D$10)/(D$11-D$10)*(D$13-D$12))*IF(D$14&lt;&gt;"",D$14,1))</f>
        <v>#N/A</v>
      </c>
      <c r="E124" s="4" t="e" cm="1">
        <f t="array" aca="1" ref="E124" ca="1">IF(ROWS(C$18:C124)&gt;E$8-E$7+1,
   NA(),
   IF(OR(E$7="",E$8="",E$7=E$8),
      NA(),
      (INDIRECT(ADDRESS(E$7+ROWS($B$18:C124)-1,COLUMN(INDIRECT(E$9&amp;1)),,,E$6))-E$10)/(E$11-E$10)*(E$13-E$12))*IF(E$14&lt;&gt;"",E$14,1))</f>
        <v>#N/A</v>
      </c>
      <c r="F124" s="4" t="e" cm="1">
        <f t="array" aca="1" ref="F124" ca="1">IF(ROWS(D$18:D124)&gt;F$8-F$7+1,
   NA(),
   IF(OR(F$7="",F$8="",F$7=F$8),
      NA(),
      (INDIRECT(ADDRESS(F$7+ROWS($B$18:D124)-1,COLUMN(INDIRECT(F$9&amp;1)),,,F$6))-F$10)/(F$11-F$10)*(F$13-F$12))*IF(F$14&lt;&gt;"",F$14,1))</f>
        <v>#N/A</v>
      </c>
      <c r="I124" s="3" t="e" cm="1">
        <f t="array" aca="1" ref="I124" ca="1">IF(ROWS(G$18:G124)&gt;I$8-I$7+1,
   NA(),
   IF(OR(I$7="",I$8="",I$7=I$8),
      NA(),
      (INDIRECT(ADDRESS(I$7+ROWS($B$18:G124)-1,COLUMN(INDIRECT(I$9&amp;1)),,,I$6))-I$10)/(I$11-I$10)*(I$13-I$12))*IF(I$14&lt;&gt;"",I$14,1))</f>
        <v>#N/A</v>
      </c>
      <c r="J124" s="4" t="e" cm="1">
        <f t="array" aca="1" ref="J124" ca="1">IF(ROWS(H$18:H124)&gt;J$8-J$7+1,
   NA(),
   IF(OR(J$7="",J$8="",J$7=J$8),
      NA(),
      (INDIRECT(ADDRESS(J$7+ROWS($B$18:H124)-1,COLUMN(INDIRECT(J$9&amp;1)),,,J$6))-J$10)/(J$11-J$10)*(J$13-J$12))*IF(J$14&lt;&gt;"",J$14,1))</f>
        <v>#N/A</v>
      </c>
      <c r="K124" s="4" t="e" cm="1">
        <f t="array" aca="1" ref="K124" ca="1">IF(ROWS(I$18:I124)&gt;K$8-K$7+1,
   NA(),
   IF(OR(K$7="",K$8="",K$7=K$8),
      NA(),
      (INDIRECT(ADDRESS(K$7+ROWS($B$18:I124)-1,COLUMN(INDIRECT(K$9&amp;1)),,,K$6))-K$10)/(K$11-K$10)*(K$13-K$12))*IF(K$14&lt;&gt;"",K$14,1))</f>
        <v>#N/A</v>
      </c>
      <c r="L124" s="4" t="e" cm="1">
        <f t="array" aca="1" ref="L124" ca="1">IF(ROWS(J$18:J124)&gt;L$8-L$7+1,
   NA(),
   IF(OR(L$7="",L$8="",L$7=L$8),
      NA(),
      (INDIRECT(ADDRESS(L$7+ROWS($B$18:J124)-1,COLUMN(INDIRECT(L$9&amp;1)),,,L$6))-L$10)/(L$11-L$10)*(L$13-L$12))*IF(L$14&lt;&gt;"",L$14,1))</f>
        <v>#N/A</v>
      </c>
    </row>
    <row r="125" spans="3:12" x14ac:dyDescent="0.2">
      <c r="C125" s="3" t="e" cm="1">
        <f t="array" aca="1" ref="C125" ca="1">IF(ROWS(A$18:A125)&gt;C$8-C$7+1,
   NA(),
   IF(OR(C$7="",C$8="",C$7=C$8),
      NA(),
      (INDIRECT(ADDRESS(C$7+ROWS(A$18:$B125)-1,COLUMN(INDIRECT(C$9&amp;1)),,,C$6))-C$10)/(C$11-C$10)*(C$13-C$12))*IF(C$14&lt;&gt;"",C$14,1))</f>
        <v>#N/A</v>
      </c>
      <c r="D125" s="4" t="e" cm="1">
        <f t="array" aca="1" ref="D125" ca="1">IF(ROWS(B$18:B125)&gt;D$8-D$7+1,
   NA(),
   IF(OR(D$7="",D$8="",D$7=D$8),
      NA(),
      (INDIRECT(ADDRESS(D$7+ROWS($B$18:B125)-1,COLUMN(INDIRECT(D$9&amp;1)),,,D$6))-D$10)/(D$11-D$10)*(D$13-D$12))*IF(D$14&lt;&gt;"",D$14,1))</f>
        <v>#N/A</v>
      </c>
      <c r="E125" s="4" t="e" cm="1">
        <f t="array" aca="1" ref="E125" ca="1">IF(ROWS(C$18:C125)&gt;E$8-E$7+1,
   NA(),
   IF(OR(E$7="",E$8="",E$7=E$8),
      NA(),
      (INDIRECT(ADDRESS(E$7+ROWS($B$18:C125)-1,COLUMN(INDIRECT(E$9&amp;1)),,,E$6))-E$10)/(E$11-E$10)*(E$13-E$12))*IF(E$14&lt;&gt;"",E$14,1))</f>
        <v>#N/A</v>
      </c>
      <c r="F125" s="4" t="e" cm="1">
        <f t="array" aca="1" ref="F125" ca="1">IF(ROWS(D$18:D125)&gt;F$8-F$7+1,
   NA(),
   IF(OR(F$7="",F$8="",F$7=F$8),
      NA(),
      (INDIRECT(ADDRESS(F$7+ROWS($B$18:D125)-1,COLUMN(INDIRECT(F$9&amp;1)),,,F$6))-F$10)/(F$11-F$10)*(F$13-F$12))*IF(F$14&lt;&gt;"",F$14,1))</f>
        <v>#N/A</v>
      </c>
      <c r="I125" s="3" t="e" cm="1">
        <f t="array" aca="1" ref="I125" ca="1">IF(ROWS(G$18:G125)&gt;I$8-I$7+1,
   NA(),
   IF(OR(I$7="",I$8="",I$7=I$8),
      NA(),
      (INDIRECT(ADDRESS(I$7+ROWS($B$18:G125)-1,COLUMN(INDIRECT(I$9&amp;1)),,,I$6))-I$10)/(I$11-I$10)*(I$13-I$12))*IF(I$14&lt;&gt;"",I$14,1))</f>
        <v>#N/A</v>
      </c>
      <c r="J125" s="4" t="e" cm="1">
        <f t="array" aca="1" ref="J125" ca="1">IF(ROWS(H$18:H125)&gt;J$8-J$7+1,
   NA(),
   IF(OR(J$7="",J$8="",J$7=J$8),
      NA(),
      (INDIRECT(ADDRESS(J$7+ROWS($B$18:H125)-1,COLUMN(INDIRECT(J$9&amp;1)),,,J$6))-J$10)/(J$11-J$10)*(J$13-J$12))*IF(J$14&lt;&gt;"",J$14,1))</f>
        <v>#N/A</v>
      </c>
      <c r="K125" s="4" t="e" cm="1">
        <f t="array" aca="1" ref="K125" ca="1">IF(ROWS(I$18:I125)&gt;K$8-K$7+1,
   NA(),
   IF(OR(K$7="",K$8="",K$7=K$8),
      NA(),
      (INDIRECT(ADDRESS(K$7+ROWS($B$18:I125)-1,COLUMN(INDIRECT(K$9&amp;1)),,,K$6))-K$10)/(K$11-K$10)*(K$13-K$12))*IF(K$14&lt;&gt;"",K$14,1))</f>
        <v>#N/A</v>
      </c>
      <c r="L125" s="4" t="e" cm="1">
        <f t="array" aca="1" ref="L125" ca="1">IF(ROWS(J$18:J125)&gt;L$8-L$7+1,
   NA(),
   IF(OR(L$7="",L$8="",L$7=L$8),
      NA(),
      (INDIRECT(ADDRESS(L$7+ROWS($B$18:J125)-1,COLUMN(INDIRECT(L$9&amp;1)),,,L$6))-L$10)/(L$11-L$10)*(L$13-L$12))*IF(L$14&lt;&gt;"",L$14,1))</f>
        <v>#N/A</v>
      </c>
    </row>
    <row r="126" spans="3:12" x14ac:dyDescent="0.2">
      <c r="C126" s="3" t="e" cm="1">
        <f t="array" aca="1" ref="C126" ca="1">IF(ROWS(A$18:A126)&gt;C$8-C$7+1,
   NA(),
   IF(OR(C$7="",C$8="",C$7=C$8),
      NA(),
      (INDIRECT(ADDRESS(C$7+ROWS(A$18:$B126)-1,COLUMN(INDIRECT(C$9&amp;1)),,,C$6))-C$10)/(C$11-C$10)*(C$13-C$12))*IF(C$14&lt;&gt;"",C$14,1))</f>
        <v>#N/A</v>
      </c>
      <c r="D126" s="4" t="e" cm="1">
        <f t="array" aca="1" ref="D126" ca="1">IF(ROWS(B$18:B126)&gt;D$8-D$7+1,
   NA(),
   IF(OR(D$7="",D$8="",D$7=D$8),
      NA(),
      (INDIRECT(ADDRESS(D$7+ROWS($B$18:B126)-1,COLUMN(INDIRECT(D$9&amp;1)),,,D$6))-D$10)/(D$11-D$10)*(D$13-D$12))*IF(D$14&lt;&gt;"",D$14,1))</f>
        <v>#N/A</v>
      </c>
      <c r="E126" s="4" t="e" cm="1">
        <f t="array" aca="1" ref="E126" ca="1">IF(ROWS(C$18:C126)&gt;E$8-E$7+1,
   NA(),
   IF(OR(E$7="",E$8="",E$7=E$8),
      NA(),
      (INDIRECT(ADDRESS(E$7+ROWS($B$18:C126)-1,COLUMN(INDIRECT(E$9&amp;1)),,,E$6))-E$10)/(E$11-E$10)*(E$13-E$12))*IF(E$14&lt;&gt;"",E$14,1))</f>
        <v>#N/A</v>
      </c>
      <c r="F126" s="4" t="e" cm="1">
        <f t="array" aca="1" ref="F126" ca="1">IF(ROWS(D$18:D126)&gt;F$8-F$7+1,
   NA(),
   IF(OR(F$7="",F$8="",F$7=F$8),
      NA(),
      (INDIRECT(ADDRESS(F$7+ROWS($B$18:D126)-1,COLUMN(INDIRECT(F$9&amp;1)),,,F$6))-F$10)/(F$11-F$10)*(F$13-F$12))*IF(F$14&lt;&gt;"",F$14,1))</f>
        <v>#N/A</v>
      </c>
      <c r="I126" s="3" t="e" cm="1">
        <f t="array" aca="1" ref="I126" ca="1">IF(ROWS(G$18:G126)&gt;I$8-I$7+1,
   NA(),
   IF(OR(I$7="",I$8="",I$7=I$8),
      NA(),
      (INDIRECT(ADDRESS(I$7+ROWS($B$18:G126)-1,COLUMN(INDIRECT(I$9&amp;1)),,,I$6))-I$10)/(I$11-I$10)*(I$13-I$12))*IF(I$14&lt;&gt;"",I$14,1))</f>
        <v>#N/A</v>
      </c>
      <c r="J126" s="4" t="e" cm="1">
        <f t="array" aca="1" ref="J126" ca="1">IF(ROWS(H$18:H126)&gt;J$8-J$7+1,
   NA(),
   IF(OR(J$7="",J$8="",J$7=J$8),
      NA(),
      (INDIRECT(ADDRESS(J$7+ROWS($B$18:H126)-1,COLUMN(INDIRECT(J$9&amp;1)),,,J$6))-J$10)/(J$11-J$10)*(J$13-J$12))*IF(J$14&lt;&gt;"",J$14,1))</f>
        <v>#N/A</v>
      </c>
      <c r="K126" s="4" t="e" cm="1">
        <f t="array" aca="1" ref="K126" ca="1">IF(ROWS(I$18:I126)&gt;K$8-K$7+1,
   NA(),
   IF(OR(K$7="",K$8="",K$7=K$8),
      NA(),
      (INDIRECT(ADDRESS(K$7+ROWS($B$18:I126)-1,COLUMN(INDIRECT(K$9&amp;1)),,,K$6))-K$10)/(K$11-K$10)*(K$13-K$12))*IF(K$14&lt;&gt;"",K$14,1))</f>
        <v>#N/A</v>
      </c>
      <c r="L126" s="4" t="e" cm="1">
        <f t="array" aca="1" ref="L126" ca="1">IF(ROWS(J$18:J126)&gt;L$8-L$7+1,
   NA(),
   IF(OR(L$7="",L$8="",L$7=L$8),
      NA(),
      (INDIRECT(ADDRESS(L$7+ROWS($B$18:J126)-1,COLUMN(INDIRECT(L$9&amp;1)),,,L$6))-L$10)/(L$11-L$10)*(L$13-L$12))*IF(L$14&lt;&gt;"",L$14,1))</f>
        <v>#N/A</v>
      </c>
    </row>
    <row r="127" spans="3:12" x14ac:dyDescent="0.2">
      <c r="C127" s="3" t="e" cm="1">
        <f t="array" aca="1" ref="C127" ca="1">IF(ROWS(A$18:A127)&gt;C$8-C$7+1,
   NA(),
   IF(OR(C$7="",C$8="",C$7=C$8),
      NA(),
      (INDIRECT(ADDRESS(C$7+ROWS(A$18:$B127)-1,COLUMN(INDIRECT(C$9&amp;1)),,,C$6))-C$10)/(C$11-C$10)*(C$13-C$12))*IF(C$14&lt;&gt;"",C$14,1))</f>
        <v>#N/A</v>
      </c>
      <c r="D127" s="4" t="e" cm="1">
        <f t="array" aca="1" ref="D127" ca="1">IF(ROWS(B$18:B127)&gt;D$8-D$7+1,
   NA(),
   IF(OR(D$7="",D$8="",D$7=D$8),
      NA(),
      (INDIRECT(ADDRESS(D$7+ROWS($B$18:B127)-1,COLUMN(INDIRECT(D$9&amp;1)),,,D$6))-D$10)/(D$11-D$10)*(D$13-D$12))*IF(D$14&lt;&gt;"",D$14,1))</f>
        <v>#N/A</v>
      </c>
      <c r="E127" s="4" t="e" cm="1">
        <f t="array" aca="1" ref="E127" ca="1">IF(ROWS(C$18:C127)&gt;E$8-E$7+1,
   NA(),
   IF(OR(E$7="",E$8="",E$7=E$8),
      NA(),
      (INDIRECT(ADDRESS(E$7+ROWS($B$18:C127)-1,COLUMN(INDIRECT(E$9&amp;1)),,,E$6))-E$10)/(E$11-E$10)*(E$13-E$12))*IF(E$14&lt;&gt;"",E$14,1))</f>
        <v>#N/A</v>
      </c>
      <c r="F127" s="4" t="e" cm="1">
        <f t="array" aca="1" ref="F127" ca="1">IF(ROWS(D$18:D127)&gt;F$8-F$7+1,
   NA(),
   IF(OR(F$7="",F$8="",F$7=F$8),
      NA(),
      (INDIRECT(ADDRESS(F$7+ROWS($B$18:D127)-1,COLUMN(INDIRECT(F$9&amp;1)),,,F$6))-F$10)/(F$11-F$10)*(F$13-F$12))*IF(F$14&lt;&gt;"",F$14,1))</f>
        <v>#N/A</v>
      </c>
      <c r="I127" s="3" t="e" cm="1">
        <f t="array" aca="1" ref="I127" ca="1">IF(ROWS(G$18:G127)&gt;I$8-I$7+1,
   NA(),
   IF(OR(I$7="",I$8="",I$7=I$8),
      NA(),
      (INDIRECT(ADDRESS(I$7+ROWS($B$18:G127)-1,COLUMN(INDIRECT(I$9&amp;1)),,,I$6))-I$10)/(I$11-I$10)*(I$13-I$12))*IF(I$14&lt;&gt;"",I$14,1))</f>
        <v>#N/A</v>
      </c>
      <c r="J127" s="4" t="e" cm="1">
        <f t="array" aca="1" ref="J127" ca="1">IF(ROWS(H$18:H127)&gt;J$8-J$7+1,
   NA(),
   IF(OR(J$7="",J$8="",J$7=J$8),
      NA(),
      (INDIRECT(ADDRESS(J$7+ROWS($B$18:H127)-1,COLUMN(INDIRECT(J$9&amp;1)),,,J$6))-J$10)/(J$11-J$10)*(J$13-J$12))*IF(J$14&lt;&gt;"",J$14,1))</f>
        <v>#N/A</v>
      </c>
      <c r="K127" s="4" t="e" cm="1">
        <f t="array" aca="1" ref="K127" ca="1">IF(ROWS(I$18:I127)&gt;K$8-K$7+1,
   NA(),
   IF(OR(K$7="",K$8="",K$7=K$8),
      NA(),
      (INDIRECT(ADDRESS(K$7+ROWS($B$18:I127)-1,COLUMN(INDIRECT(K$9&amp;1)),,,K$6))-K$10)/(K$11-K$10)*(K$13-K$12))*IF(K$14&lt;&gt;"",K$14,1))</f>
        <v>#N/A</v>
      </c>
      <c r="L127" s="4" t="e" cm="1">
        <f t="array" aca="1" ref="L127" ca="1">IF(ROWS(J$18:J127)&gt;L$8-L$7+1,
   NA(),
   IF(OR(L$7="",L$8="",L$7=L$8),
      NA(),
      (INDIRECT(ADDRESS(L$7+ROWS($B$18:J127)-1,COLUMN(INDIRECT(L$9&amp;1)),,,L$6))-L$10)/(L$11-L$10)*(L$13-L$12))*IF(L$14&lt;&gt;"",L$14,1))</f>
        <v>#N/A</v>
      </c>
    </row>
    <row r="128" spans="3:12" x14ac:dyDescent="0.2">
      <c r="C128" s="3" t="e" cm="1">
        <f t="array" aca="1" ref="C128" ca="1">IF(ROWS(A$18:A128)&gt;C$8-C$7+1,
   NA(),
   IF(OR(C$7="",C$8="",C$7=C$8),
      NA(),
      (INDIRECT(ADDRESS(C$7+ROWS(A$18:$B128)-1,COLUMN(INDIRECT(C$9&amp;1)),,,C$6))-C$10)/(C$11-C$10)*(C$13-C$12))*IF(C$14&lt;&gt;"",C$14,1))</f>
        <v>#N/A</v>
      </c>
      <c r="D128" s="4" t="e" cm="1">
        <f t="array" aca="1" ref="D128" ca="1">IF(ROWS(B$18:B128)&gt;D$8-D$7+1,
   NA(),
   IF(OR(D$7="",D$8="",D$7=D$8),
      NA(),
      (INDIRECT(ADDRESS(D$7+ROWS($B$18:B128)-1,COLUMN(INDIRECT(D$9&amp;1)),,,D$6))-D$10)/(D$11-D$10)*(D$13-D$12))*IF(D$14&lt;&gt;"",D$14,1))</f>
        <v>#N/A</v>
      </c>
      <c r="E128" s="4" t="e" cm="1">
        <f t="array" aca="1" ref="E128" ca="1">IF(ROWS(C$18:C128)&gt;E$8-E$7+1,
   NA(),
   IF(OR(E$7="",E$8="",E$7=E$8),
      NA(),
      (INDIRECT(ADDRESS(E$7+ROWS($B$18:C128)-1,COLUMN(INDIRECT(E$9&amp;1)),,,E$6))-E$10)/(E$11-E$10)*(E$13-E$12))*IF(E$14&lt;&gt;"",E$14,1))</f>
        <v>#N/A</v>
      </c>
      <c r="F128" s="4" t="e" cm="1">
        <f t="array" aca="1" ref="F128" ca="1">IF(ROWS(D$18:D128)&gt;F$8-F$7+1,
   NA(),
   IF(OR(F$7="",F$8="",F$7=F$8),
      NA(),
      (INDIRECT(ADDRESS(F$7+ROWS($B$18:D128)-1,COLUMN(INDIRECT(F$9&amp;1)),,,F$6))-F$10)/(F$11-F$10)*(F$13-F$12))*IF(F$14&lt;&gt;"",F$14,1))</f>
        <v>#N/A</v>
      </c>
      <c r="I128" s="3" t="e" cm="1">
        <f t="array" aca="1" ref="I128" ca="1">IF(ROWS(G$18:G128)&gt;I$8-I$7+1,
   NA(),
   IF(OR(I$7="",I$8="",I$7=I$8),
      NA(),
      (INDIRECT(ADDRESS(I$7+ROWS($B$18:G128)-1,COLUMN(INDIRECT(I$9&amp;1)),,,I$6))-I$10)/(I$11-I$10)*(I$13-I$12))*IF(I$14&lt;&gt;"",I$14,1))</f>
        <v>#N/A</v>
      </c>
      <c r="J128" s="4" t="e" cm="1">
        <f t="array" aca="1" ref="J128" ca="1">IF(ROWS(H$18:H128)&gt;J$8-J$7+1,
   NA(),
   IF(OR(J$7="",J$8="",J$7=J$8),
      NA(),
      (INDIRECT(ADDRESS(J$7+ROWS($B$18:H128)-1,COLUMN(INDIRECT(J$9&amp;1)),,,J$6))-J$10)/(J$11-J$10)*(J$13-J$12))*IF(J$14&lt;&gt;"",J$14,1))</f>
        <v>#N/A</v>
      </c>
      <c r="K128" s="4" t="e" cm="1">
        <f t="array" aca="1" ref="K128" ca="1">IF(ROWS(I$18:I128)&gt;K$8-K$7+1,
   NA(),
   IF(OR(K$7="",K$8="",K$7=K$8),
      NA(),
      (INDIRECT(ADDRESS(K$7+ROWS($B$18:I128)-1,COLUMN(INDIRECT(K$9&amp;1)),,,K$6))-K$10)/(K$11-K$10)*(K$13-K$12))*IF(K$14&lt;&gt;"",K$14,1))</f>
        <v>#N/A</v>
      </c>
      <c r="L128" s="4" t="e" cm="1">
        <f t="array" aca="1" ref="L128" ca="1">IF(ROWS(J$18:J128)&gt;L$8-L$7+1,
   NA(),
   IF(OR(L$7="",L$8="",L$7=L$8),
      NA(),
      (INDIRECT(ADDRESS(L$7+ROWS($B$18:J128)-1,COLUMN(INDIRECT(L$9&amp;1)),,,L$6))-L$10)/(L$11-L$10)*(L$13-L$12))*IF(L$14&lt;&gt;"",L$14,1))</f>
        <v>#N/A</v>
      </c>
    </row>
    <row r="129" spans="3:12" x14ac:dyDescent="0.2">
      <c r="C129" s="3" t="e" cm="1">
        <f t="array" aca="1" ref="C129" ca="1">IF(ROWS(A$18:A129)&gt;C$8-C$7+1,
   NA(),
   IF(OR(C$7="",C$8="",C$7=C$8),
      NA(),
      (INDIRECT(ADDRESS(C$7+ROWS(A$18:$B129)-1,COLUMN(INDIRECT(C$9&amp;1)),,,C$6))-C$10)/(C$11-C$10)*(C$13-C$12))*IF(C$14&lt;&gt;"",C$14,1))</f>
        <v>#N/A</v>
      </c>
      <c r="D129" s="4" t="e" cm="1">
        <f t="array" aca="1" ref="D129" ca="1">IF(ROWS(B$18:B129)&gt;D$8-D$7+1,
   NA(),
   IF(OR(D$7="",D$8="",D$7=D$8),
      NA(),
      (INDIRECT(ADDRESS(D$7+ROWS($B$18:B129)-1,COLUMN(INDIRECT(D$9&amp;1)),,,D$6))-D$10)/(D$11-D$10)*(D$13-D$12))*IF(D$14&lt;&gt;"",D$14,1))</f>
        <v>#N/A</v>
      </c>
      <c r="E129" s="4" t="e" cm="1">
        <f t="array" aca="1" ref="E129" ca="1">IF(ROWS(C$18:C129)&gt;E$8-E$7+1,
   NA(),
   IF(OR(E$7="",E$8="",E$7=E$8),
      NA(),
      (INDIRECT(ADDRESS(E$7+ROWS($B$18:C129)-1,COLUMN(INDIRECT(E$9&amp;1)),,,E$6))-E$10)/(E$11-E$10)*(E$13-E$12))*IF(E$14&lt;&gt;"",E$14,1))</f>
        <v>#N/A</v>
      </c>
      <c r="F129" s="4" t="e" cm="1">
        <f t="array" aca="1" ref="F129" ca="1">IF(ROWS(D$18:D129)&gt;F$8-F$7+1,
   NA(),
   IF(OR(F$7="",F$8="",F$7=F$8),
      NA(),
      (INDIRECT(ADDRESS(F$7+ROWS($B$18:D129)-1,COLUMN(INDIRECT(F$9&amp;1)),,,F$6))-F$10)/(F$11-F$10)*(F$13-F$12))*IF(F$14&lt;&gt;"",F$14,1))</f>
        <v>#N/A</v>
      </c>
      <c r="I129" s="3" t="e" cm="1">
        <f t="array" aca="1" ref="I129" ca="1">IF(ROWS(G$18:G129)&gt;I$8-I$7+1,
   NA(),
   IF(OR(I$7="",I$8="",I$7=I$8),
      NA(),
      (INDIRECT(ADDRESS(I$7+ROWS($B$18:G129)-1,COLUMN(INDIRECT(I$9&amp;1)),,,I$6))-I$10)/(I$11-I$10)*(I$13-I$12))*IF(I$14&lt;&gt;"",I$14,1))</f>
        <v>#N/A</v>
      </c>
      <c r="J129" s="4" t="e" cm="1">
        <f t="array" aca="1" ref="J129" ca="1">IF(ROWS(H$18:H129)&gt;J$8-J$7+1,
   NA(),
   IF(OR(J$7="",J$8="",J$7=J$8),
      NA(),
      (INDIRECT(ADDRESS(J$7+ROWS($B$18:H129)-1,COLUMN(INDIRECT(J$9&amp;1)),,,J$6))-J$10)/(J$11-J$10)*(J$13-J$12))*IF(J$14&lt;&gt;"",J$14,1))</f>
        <v>#N/A</v>
      </c>
      <c r="K129" s="4" t="e" cm="1">
        <f t="array" aca="1" ref="K129" ca="1">IF(ROWS(I$18:I129)&gt;K$8-K$7+1,
   NA(),
   IF(OR(K$7="",K$8="",K$7=K$8),
      NA(),
      (INDIRECT(ADDRESS(K$7+ROWS($B$18:I129)-1,COLUMN(INDIRECT(K$9&amp;1)),,,K$6))-K$10)/(K$11-K$10)*(K$13-K$12))*IF(K$14&lt;&gt;"",K$14,1))</f>
        <v>#N/A</v>
      </c>
      <c r="L129" s="4" t="e" cm="1">
        <f t="array" aca="1" ref="L129" ca="1">IF(ROWS(J$18:J129)&gt;L$8-L$7+1,
   NA(),
   IF(OR(L$7="",L$8="",L$7=L$8),
      NA(),
      (INDIRECT(ADDRESS(L$7+ROWS($B$18:J129)-1,COLUMN(INDIRECT(L$9&amp;1)),,,L$6))-L$10)/(L$11-L$10)*(L$13-L$12))*IF(L$14&lt;&gt;"",L$14,1))</f>
        <v>#N/A</v>
      </c>
    </row>
    <row r="130" spans="3:12" x14ac:dyDescent="0.2">
      <c r="C130" s="3" t="e" cm="1">
        <f t="array" aca="1" ref="C130" ca="1">IF(ROWS(A$18:A130)&gt;C$8-C$7+1,
   NA(),
   IF(OR(C$7="",C$8="",C$7=C$8),
      NA(),
      (INDIRECT(ADDRESS(C$7+ROWS(A$18:$B130)-1,COLUMN(INDIRECT(C$9&amp;1)),,,C$6))-C$10)/(C$11-C$10)*(C$13-C$12))*IF(C$14&lt;&gt;"",C$14,1))</f>
        <v>#N/A</v>
      </c>
      <c r="D130" s="4" t="e" cm="1">
        <f t="array" aca="1" ref="D130" ca="1">IF(ROWS(B$18:B130)&gt;D$8-D$7+1,
   NA(),
   IF(OR(D$7="",D$8="",D$7=D$8),
      NA(),
      (INDIRECT(ADDRESS(D$7+ROWS($B$18:B130)-1,COLUMN(INDIRECT(D$9&amp;1)),,,D$6))-D$10)/(D$11-D$10)*(D$13-D$12))*IF(D$14&lt;&gt;"",D$14,1))</f>
        <v>#N/A</v>
      </c>
      <c r="E130" s="4" t="e" cm="1">
        <f t="array" aca="1" ref="E130" ca="1">IF(ROWS(C$18:C130)&gt;E$8-E$7+1,
   NA(),
   IF(OR(E$7="",E$8="",E$7=E$8),
      NA(),
      (INDIRECT(ADDRESS(E$7+ROWS($B$18:C130)-1,COLUMN(INDIRECT(E$9&amp;1)),,,E$6))-E$10)/(E$11-E$10)*(E$13-E$12))*IF(E$14&lt;&gt;"",E$14,1))</f>
        <v>#N/A</v>
      </c>
      <c r="F130" s="4" t="e" cm="1">
        <f t="array" aca="1" ref="F130" ca="1">IF(ROWS(D$18:D130)&gt;F$8-F$7+1,
   NA(),
   IF(OR(F$7="",F$8="",F$7=F$8),
      NA(),
      (INDIRECT(ADDRESS(F$7+ROWS($B$18:D130)-1,COLUMN(INDIRECT(F$9&amp;1)),,,F$6))-F$10)/(F$11-F$10)*(F$13-F$12))*IF(F$14&lt;&gt;"",F$14,1))</f>
        <v>#N/A</v>
      </c>
      <c r="I130" s="3" t="e" cm="1">
        <f t="array" aca="1" ref="I130" ca="1">IF(ROWS(G$18:G130)&gt;I$8-I$7+1,
   NA(),
   IF(OR(I$7="",I$8="",I$7=I$8),
      NA(),
      (INDIRECT(ADDRESS(I$7+ROWS($B$18:G130)-1,COLUMN(INDIRECT(I$9&amp;1)),,,I$6))-I$10)/(I$11-I$10)*(I$13-I$12))*IF(I$14&lt;&gt;"",I$14,1))</f>
        <v>#N/A</v>
      </c>
      <c r="J130" s="4" t="e" cm="1">
        <f t="array" aca="1" ref="J130" ca="1">IF(ROWS(H$18:H130)&gt;J$8-J$7+1,
   NA(),
   IF(OR(J$7="",J$8="",J$7=J$8),
      NA(),
      (INDIRECT(ADDRESS(J$7+ROWS($B$18:H130)-1,COLUMN(INDIRECT(J$9&amp;1)),,,J$6))-J$10)/(J$11-J$10)*(J$13-J$12))*IF(J$14&lt;&gt;"",J$14,1))</f>
        <v>#N/A</v>
      </c>
      <c r="K130" s="4" t="e" cm="1">
        <f t="array" aca="1" ref="K130" ca="1">IF(ROWS(I$18:I130)&gt;K$8-K$7+1,
   NA(),
   IF(OR(K$7="",K$8="",K$7=K$8),
      NA(),
      (INDIRECT(ADDRESS(K$7+ROWS($B$18:I130)-1,COLUMN(INDIRECT(K$9&amp;1)),,,K$6))-K$10)/(K$11-K$10)*(K$13-K$12))*IF(K$14&lt;&gt;"",K$14,1))</f>
        <v>#N/A</v>
      </c>
      <c r="L130" s="4" t="e" cm="1">
        <f t="array" aca="1" ref="L130" ca="1">IF(ROWS(J$18:J130)&gt;L$8-L$7+1,
   NA(),
   IF(OR(L$7="",L$8="",L$7=L$8),
      NA(),
      (INDIRECT(ADDRESS(L$7+ROWS($B$18:J130)-1,COLUMN(INDIRECT(L$9&amp;1)),,,L$6))-L$10)/(L$11-L$10)*(L$13-L$12))*IF(L$14&lt;&gt;"",L$14,1))</f>
        <v>#N/A</v>
      </c>
    </row>
    <row r="131" spans="3:12" x14ac:dyDescent="0.2">
      <c r="C131" s="3" t="e" cm="1">
        <f t="array" aca="1" ref="C131" ca="1">IF(ROWS(A$18:A131)&gt;C$8-C$7+1,
   NA(),
   IF(OR(C$7="",C$8="",C$7=C$8),
      NA(),
      (INDIRECT(ADDRESS(C$7+ROWS(A$18:$B131)-1,COLUMN(INDIRECT(C$9&amp;1)),,,C$6))-C$10)/(C$11-C$10)*(C$13-C$12))*IF(C$14&lt;&gt;"",C$14,1))</f>
        <v>#N/A</v>
      </c>
      <c r="D131" s="4" t="e" cm="1">
        <f t="array" aca="1" ref="D131" ca="1">IF(ROWS(B$18:B131)&gt;D$8-D$7+1,
   NA(),
   IF(OR(D$7="",D$8="",D$7=D$8),
      NA(),
      (INDIRECT(ADDRESS(D$7+ROWS($B$18:B131)-1,COLUMN(INDIRECT(D$9&amp;1)),,,D$6))-D$10)/(D$11-D$10)*(D$13-D$12))*IF(D$14&lt;&gt;"",D$14,1))</f>
        <v>#N/A</v>
      </c>
      <c r="E131" s="4" t="e" cm="1">
        <f t="array" aca="1" ref="E131" ca="1">IF(ROWS(C$18:C131)&gt;E$8-E$7+1,
   NA(),
   IF(OR(E$7="",E$8="",E$7=E$8),
      NA(),
      (INDIRECT(ADDRESS(E$7+ROWS($B$18:C131)-1,COLUMN(INDIRECT(E$9&amp;1)),,,E$6))-E$10)/(E$11-E$10)*(E$13-E$12))*IF(E$14&lt;&gt;"",E$14,1))</f>
        <v>#N/A</v>
      </c>
      <c r="F131" s="4" t="e" cm="1">
        <f t="array" aca="1" ref="F131" ca="1">IF(ROWS(D$18:D131)&gt;F$8-F$7+1,
   NA(),
   IF(OR(F$7="",F$8="",F$7=F$8),
      NA(),
      (INDIRECT(ADDRESS(F$7+ROWS($B$18:D131)-1,COLUMN(INDIRECT(F$9&amp;1)),,,F$6))-F$10)/(F$11-F$10)*(F$13-F$12))*IF(F$14&lt;&gt;"",F$14,1))</f>
        <v>#N/A</v>
      </c>
      <c r="I131" s="3" t="e" cm="1">
        <f t="array" aca="1" ref="I131" ca="1">IF(ROWS(G$18:G131)&gt;I$8-I$7+1,
   NA(),
   IF(OR(I$7="",I$8="",I$7=I$8),
      NA(),
      (INDIRECT(ADDRESS(I$7+ROWS($B$18:G131)-1,COLUMN(INDIRECT(I$9&amp;1)),,,I$6))-I$10)/(I$11-I$10)*(I$13-I$12))*IF(I$14&lt;&gt;"",I$14,1))</f>
        <v>#N/A</v>
      </c>
      <c r="J131" s="4" t="e" cm="1">
        <f t="array" aca="1" ref="J131" ca="1">IF(ROWS(H$18:H131)&gt;J$8-J$7+1,
   NA(),
   IF(OR(J$7="",J$8="",J$7=J$8),
      NA(),
      (INDIRECT(ADDRESS(J$7+ROWS($B$18:H131)-1,COLUMN(INDIRECT(J$9&amp;1)),,,J$6))-J$10)/(J$11-J$10)*(J$13-J$12))*IF(J$14&lt;&gt;"",J$14,1))</f>
        <v>#N/A</v>
      </c>
      <c r="K131" s="4" t="e" cm="1">
        <f t="array" aca="1" ref="K131" ca="1">IF(ROWS(I$18:I131)&gt;K$8-K$7+1,
   NA(),
   IF(OR(K$7="",K$8="",K$7=K$8),
      NA(),
      (INDIRECT(ADDRESS(K$7+ROWS($B$18:I131)-1,COLUMN(INDIRECT(K$9&amp;1)),,,K$6))-K$10)/(K$11-K$10)*(K$13-K$12))*IF(K$14&lt;&gt;"",K$14,1))</f>
        <v>#N/A</v>
      </c>
      <c r="L131" s="4" t="e" cm="1">
        <f t="array" aca="1" ref="L131" ca="1">IF(ROWS(J$18:J131)&gt;L$8-L$7+1,
   NA(),
   IF(OR(L$7="",L$8="",L$7=L$8),
      NA(),
      (INDIRECT(ADDRESS(L$7+ROWS($B$18:J131)-1,COLUMN(INDIRECT(L$9&amp;1)),,,L$6))-L$10)/(L$11-L$10)*(L$13-L$12))*IF(L$14&lt;&gt;"",L$14,1))</f>
        <v>#N/A</v>
      </c>
    </row>
    <row r="132" spans="3:12" x14ac:dyDescent="0.2">
      <c r="C132" s="3" t="e" cm="1">
        <f t="array" aca="1" ref="C132" ca="1">IF(ROWS(A$18:A132)&gt;C$8-C$7+1,
   NA(),
   IF(OR(C$7="",C$8="",C$7=C$8),
      NA(),
      (INDIRECT(ADDRESS(C$7+ROWS(A$18:$B132)-1,COLUMN(INDIRECT(C$9&amp;1)),,,C$6))-C$10)/(C$11-C$10)*(C$13-C$12))*IF(C$14&lt;&gt;"",C$14,1))</f>
        <v>#N/A</v>
      </c>
      <c r="D132" s="4" t="e" cm="1">
        <f t="array" aca="1" ref="D132" ca="1">IF(ROWS(B$18:B132)&gt;D$8-D$7+1,
   NA(),
   IF(OR(D$7="",D$8="",D$7=D$8),
      NA(),
      (INDIRECT(ADDRESS(D$7+ROWS($B$18:B132)-1,COLUMN(INDIRECT(D$9&amp;1)),,,D$6))-D$10)/(D$11-D$10)*(D$13-D$12))*IF(D$14&lt;&gt;"",D$14,1))</f>
        <v>#N/A</v>
      </c>
      <c r="E132" s="4" t="e" cm="1">
        <f t="array" aca="1" ref="E132" ca="1">IF(ROWS(C$18:C132)&gt;E$8-E$7+1,
   NA(),
   IF(OR(E$7="",E$8="",E$7=E$8),
      NA(),
      (INDIRECT(ADDRESS(E$7+ROWS($B$18:C132)-1,COLUMN(INDIRECT(E$9&amp;1)),,,E$6))-E$10)/(E$11-E$10)*(E$13-E$12))*IF(E$14&lt;&gt;"",E$14,1))</f>
        <v>#N/A</v>
      </c>
      <c r="F132" s="4" t="e" cm="1">
        <f t="array" aca="1" ref="F132" ca="1">IF(ROWS(D$18:D132)&gt;F$8-F$7+1,
   NA(),
   IF(OR(F$7="",F$8="",F$7=F$8),
      NA(),
      (INDIRECT(ADDRESS(F$7+ROWS($B$18:D132)-1,COLUMN(INDIRECT(F$9&amp;1)),,,F$6))-F$10)/(F$11-F$10)*(F$13-F$12))*IF(F$14&lt;&gt;"",F$14,1))</f>
        <v>#N/A</v>
      </c>
      <c r="I132" s="3" t="e" cm="1">
        <f t="array" aca="1" ref="I132" ca="1">IF(ROWS(G$18:G132)&gt;I$8-I$7+1,
   NA(),
   IF(OR(I$7="",I$8="",I$7=I$8),
      NA(),
      (INDIRECT(ADDRESS(I$7+ROWS($B$18:G132)-1,COLUMN(INDIRECT(I$9&amp;1)),,,I$6))-I$10)/(I$11-I$10)*(I$13-I$12))*IF(I$14&lt;&gt;"",I$14,1))</f>
        <v>#N/A</v>
      </c>
      <c r="J132" s="4" t="e" cm="1">
        <f t="array" aca="1" ref="J132" ca="1">IF(ROWS(H$18:H132)&gt;J$8-J$7+1,
   NA(),
   IF(OR(J$7="",J$8="",J$7=J$8),
      NA(),
      (INDIRECT(ADDRESS(J$7+ROWS($B$18:H132)-1,COLUMN(INDIRECT(J$9&amp;1)),,,J$6))-J$10)/(J$11-J$10)*(J$13-J$12))*IF(J$14&lt;&gt;"",J$14,1))</f>
        <v>#N/A</v>
      </c>
      <c r="K132" s="4" t="e" cm="1">
        <f t="array" aca="1" ref="K132" ca="1">IF(ROWS(I$18:I132)&gt;K$8-K$7+1,
   NA(),
   IF(OR(K$7="",K$8="",K$7=K$8),
      NA(),
      (INDIRECT(ADDRESS(K$7+ROWS($B$18:I132)-1,COLUMN(INDIRECT(K$9&amp;1)),,,K$6))-K$10)/(K$11-K$10)*(K$13-K$12))*IF(K$14&lt;&gt;"",K$14,1))</f>
        <v>#N/A</v>
      </c>
      <c r="L132" s="4" t="e" cm="1">
        <f t="array" aca="1" ref="L132" ca="1">IF(ROWS(J$18:J132)&gt;L$8-L$7+1,
   NA(),
   IF(OR(L$7="",L$8="",L$7=L$8),
      NA(),
      (INDIRECT(ADDRESS(L$7+ROWS($B$18:J132)-1,COLUMN(INDIRECT(L$9&amp;1)),,,L$6))-L$10)/(L$11-L$10)*(L$13-L$12))*IF(L$14&lt;&gt;"",L$14,1))</f>
        <v>#N/A</v>
      </c>
    </row>
    <row r="133" spans="3:12" x14ac:dyDescent="0.2">
      <c r="C133" s="3" t="e" cm="1">
        <f t="array" aca="1" ref="C133" ca="1">IF(ROWS(A$18:A133)&gt;C$8-C$7+1,
   NA(),
   IF(OR(C$7="",C$8="",C$7=C$8),
      NA(),
      (INDIRECT(ADDRESS(C$7+ROWS(A$18:$B133)-1,COLUMN(INDIRECT(C$9&amp;1)),,,C$6))-C$10)/(C$11-C$10)*(C$13-C$12))*IF(C$14&lt;&gt;"",C$14,1))</f>
        <v>#N/A</v>
      </c>
      <c r="D133" s="4" t="e" cm="1">
        <f t="array" aca="1" ref="D133" ca="1">IF(ROWS(B$18:B133)&gt;D$8-D$7+1,
   NA(),
   IF(OR(D$7="",D$8="",D$7=D$8),
      NA(),
      (INDIRECT(ADDRESS(D$7+ROWS($B$18:B133)-1,COLUMN(INDIRECT(D$9&amp;1)),,,D$6))-D$10)/(D$11-D$10)*(D$13-D$12))*IF(D$14&lt;&gt;"",D$14,1))</f>
        <v>#N/A</v>
      </c>
      <c r="E133" s="4" t="e" cm="1">
        <f t="array" aca="1" ref="E133" ca="1">IF(ROWS(C$18:C133)&gt;E$8-E$7+1,
   NA(),
   IF(OR(E$7="",E$8="",E$7=E$8),
      NA(),
      (INDIRECT(ADDRESS(E$7+ROWS($B$18:C133)-1,COLUMN(INDIRECT(E$9&amp;1)),,,E$6))-E$10)/(E$11-E$10)*(E$13-E$12))*IF(E$14&lt;&gt;"",E$14,1))</f>
        <v>#N/A</v>
      </c>
      <c r="F133" s="4" t="e" cm="1">
        <f t="array" aca="1" ref="F133" ca="1">IF(ROWS(D$18:D133)&gt;F$8-F$7+1,
   NA(),
   IF(OR(F$7="",F$8="",F$7=F$8),
      NA(),
      (INDIRECT(ADDRESS(F$7+ROWS($B$18:D133)-1,COLUMN(INDIRECT(F$9&amp;1)),,,F$6))-F$10)/(F$11-F$10)*(F$13-F$12))*IF(F$14&lt;&gt;"",F$14,1))</f>
        <v>#N/A</v>
      </c>
      <c r="I133" s="3" t="e" cm="1">
        <f t="array" aca="1" ref="I133" ca="1">IF(ROWS(G$18:G133)&gt;I$8-I$7+1,
   NA(),
   IF(OR(I$7="",I$8="",I$7=I$8),
      NA(),
      (INDIRECT(ADDRESS(I$7+ROWS($B$18:G133)-1,COLUMN(INDIRECT(I$9&amp;1)),,,I$6))-I$10)/(I$11-I$10)*(I$13-I$12))*IF(I$14&lt;&gt;"",I$14,1))</f>
        <v>#N/A</v>
      </c>
      <c r="J133" s="4" t="e" cm="1">
        <f t="array" aca="1" ref="J133" ca="1">IF(ROWS(H$18:H133)&gt;J$8-J$7+1,
   NA(),
   IF(OR(J$7="",J$8="",J$7=J$8),
      NA(),
      (INDIRECT(ADDRESS(J$7+ROWS($B$18:H133)-1,COLUMN(INDIRECT(J$9&amp;1)),,,J$6))-J$10)/(J$11-J$10)*(J$13-J$12))*IF(J$14&lt;&gt;"",J$14,1))</f>
        <v>#N/A</v>
      </c>
      <c r="K133" s="4" t="e" cm="1">
        <f t="array" aca="1" ref="K133" ca="1">IF(ROWS(I$18:I133)&gt;K$8-K$7+1,
   NA(),
   IF(OR(K$7="",K$8="",K$7=K$8),
      NA(),
      (INDIRECT(ADDRESS(K$7+ROWS($B$18:I133)-1,COLUMN(INDIRECT(K$9&amp;1)),,,K$6))-K$10)/(K$11-K$10)*(K$13-K$12))*IF(K$14&lt;&gt;"",K$14,1))</f>
        <v>#N/A</v>
      </c>
      <c r="L133" s="4" t="e" cm="1">
        <f t="array" aca="1" ref="L133" ca="1">IF(ROWS(J$18:J133)&gt;L$8-L$7+1,
   NA(),
   IF(OR(L$7="",L$8="",L$7=L$8),
      NA(),
      (INDIRECT(ADDRESS(L$7+ROWS($B$18:J133)-1,COLUMN(INDIRECT(L$9&amp;1)),,,L$6))-L$10)/(L$11-L$10)*(L$13-L$12))*IF(L$14&lt;&gt;"",L$14,1))</f>
        <v>#N/A</v>
      </c>
    </row>
    <row r="134" spans="3:12" x14ac:dyDescent="0.2">
      <c r="C134" s="3" t="e" cm="1">
        <f t="array" aca="1" ref="C134" ca="1">IF(ROWS(A$18:A134)&gt;C$8-C$7+1,
   NA(),
   IF(OR(C$7="",C$8="",C$7=C$8),
      NA(),
      (INDIRECT(ADDRESS(C$7+ROWS(A$18:$B134)-1,COLUMN(INDIRECT(C$9&amp;1)),,,C$6))-C$10)/(C$11-C$10)*(C$13-C$12))*IF(C$14&lt;&gt;"",C$14,1))</f>
        <v>#N/A</v>
      </c>
      <c r="D134" s="4" t="e" cm="1">
        <f t="array" aca="1" ref="D134" ca="1">IF(ROWS(B$18:B134)&gt;D$8-D$7+1,
   NA(),
   IF(OR(D$7="",D$8="",D$7=D$8),
      NA(),
      (INDIRECT(ADDRESS(D$7+ROWS($B$18:B134)-1,COLUMN(INDIRECT(D$9&amp;1)),,,D$6))-D$10)/(D$11-D$10)*(D$13-D$12))*IF(D$14&lt;&gt;"",D$14,1))</f>
        <v>#N/A</v>
      </c>
      <c r="E134" s="4" t="e" cm="1">
        <f t="array" aca="1" ref="E134" ca="1">IF(ROWS(C$18:C134)&gt;E$8-E$7+1,
   NA(),
   IF(OR(E$7="",E$8="",E$7=E$8),
      NA(),
      (INDIRECT(ADDRESS(E$7+ROWS($B$18:C134)-1,COLUMN(INDIRECT(E$9&amp;1)),,,E$6))-E$10)/(E$11-E$10)*(E$13-E$12))*IF(E$14&lt;&gt;"",E$14,1))</f>
        <v>#N/A</v>
      </c>
      <c r="F134" s="4" t="e" cm="1">
        <f t="array" aca="1" ref="F134" ca="1">IF(ROWS(D$18:D134)&gt;F$8-F$7+1,
   NA(),
   IF(OR(F$7="",F$8="",F$7=F$8),
      NA(),
      (INDIRECT(ADDRESS(F$7+ROWS($B$18:D134)-1,COLUMN(INDIRECT(F$9&amp;1)),,,F$6))-F$10)/(F$11-F$10)*(F$13-F$12))*IF(F$14&lt;&gt;"",F$14,1))</f>
        <v>#N/A</v>
      </c>
      <c r="I134" s="3" t="e" cm="1">
        <f t="array" aca="1" ref="I134" ca="1">IF(ROWS(G$18:G134)&gt;I$8-I$7+1,
   NA(),
   IF(OR(I$7="",I$8="",I$7=I$8),
      NA(),
      (INDIRECT(ADDRESS(I$7+ROWS($B$18:G134)-1,COLUMN(INDIRECT(I$9&amp;1)),,,I$6))-I$10)/(I$11-I$10)*(I$13-I$12))*IF(I$14&lt;&gt;"",I$14,1))</f>
        <v>#N/A</v>
      </c>
      <c r="J134" s="4" t="e" cm="1">
        <f t="array" aca="1" ref="J134" ca="1">IF(ROWS(H$18:H134)&gt;J$8-J$7+1,
   NA(),
   IF(OR(J$7="",J$8="",J$7=J$8),
      NA(),
      (INDIRECT(ADDRESS(J$7+ROWS($B$18:H134)-1,COLUMN(INDIRECT(J$9&amp;1)),,,J$6))-J$10)/(J$11-J$10)*(J$13-J$12))*IF(J$14&lt;&gt;"",J$14,1))</f>
        <v>#N/A</v>
      </c>
      <c r="K134" s="4" t="e" cm="1">
        <f t="array" aca="1" ref="K134" ca="1">IF(ROWS(I$18:I134)&gt;K$8-K$7+1,
   NA(),
   IF(OR(K$7="",K$8="",K$7=K$8),
      NA(),
      (INDIRECT(ADDRESS(K$7+ROWS($B$18:I134)-1,COLUMN(INDIRECT(K$9&amp;1)),,,K$6))-K$10)/(K$11-K$10)*(K$13-K$12))*IF(K$14&lt;&gt;"",K$14,1))</f>
        <v>#N/A</v>
      </c>
      <c r="L134" s="4" t="e" cm="1">
        <f t="array" aca="1" ref="L134" ca="1">IF(ROWS(J$18:J134)&gt;L$8-L$7+1,
   NA(),
   IF(OR(L$7="",L$8="",L$7=L$8),
      NA(),
      (INDIRECT(ADDRESS(L$7+ROWS($B$18:J134)-1,COLUMN(INDIRECT(L$9&amp;1)),,,L$6))-L$10)/(L$11-L$10)*(L$13-L$12))*IF(L$14&lt;&gt;"",L$14,1))</f>
        <v>#N/A</v>
      </c>
    </row>
    <row r="135" spans="3:12" x14ac:dyDescent="0.2">
      <c r="C135" s="3" t="e" cm="1">
        <f t="array" aca="1" ref="C135" ca="1">IF(ROWS(A$18:A135)&gt;C$8-C$7+1,
   NA(),
   IF(OR(C$7="",C$8="",C$7=C$8),
      NA(),
      (INDIRECT(ADDRESS(C$7+ROWS(A$18:$B135)-1,COLUMN(INDIRECT(C$9&amp;1)),,,C$6))-C$10)/(C$11-C$10)*(C$13-C$12))*IF(C$14&lt;&gt;"",C$14,1))</f>
        <v>#N/A</v>
      </c>
      <c r="D135" s="4" t="e" cm="1">
        <f t="array" aca="1" ref="D135" ca="1">IF(ROWS(B$18:B135)&gt;D$8-D$7+1,
   NA(),
   IF(OR(D$7="",D$8="",D$7=D$8),
      NA(),
      (INDIRECT(ADDRESS(D$7+ROWS($B$18:B135)-1,COLUMN(INDIRECT(D$9&amp;1)),,,D$6))-D$10)/(D$11-D$10)*(D$13-D$12))*IF(D$14&lt;&gt;"",D$14,1))</f>
        <v>#N/A</v>
      </c>
      <c r="E135" s="4" t="e" cm="1">
        <f t="array" aca="1" ref="E135" ca="1">IF(ROWS(C$18:C135)&gt;E$8-E$7+1,
   NA(),
   IF(OR(E$7="",E$8="",E$7=E$8),
      NA(),
      (INDIRECT(ADDRESS(E$7+ROWS($B$18:C135)-1,COLUMN(INDIRECT(E$9&amp;1)),,,E$6))-E$10)/(E$11-E$10)*(E$13-E$12))*IF(E$14&lt;&gt;"",E$14,1))</f>
        <v>#N/A</v>
      </c>
      <c r="F135" s="4" t="e" cm="1">
        <f t="array" aca="1" ref="F135" ca="1">IF(ROWS(D$18:D135)&gt;F$8-F$7+1,
   NA(),
   IF(OR(F$7="",F$8="",F$7=F$8),
      NA(),
      (INDIRECT(ADDRESS(F$7+ROWS($B$18:D135)-1,COLUMN(INDIRECT(F$9&amp;1)),,,F$6))-F$10)/(F$11-F$10)*(F$13-F$12))*IF(F$14&lt;&gt;"",F$14,1))</f>
        <v>#N/A</v>
      </c>
      <c r="I135" s="3" t="e" cm="1">
        <f t="array" aca="1" ref="I135" ca="1">IF(ROWS(G$18:G135)&gt;I$8-I$7+1,
   NA(),
   IF(OR(I$7="",I$8="",I$7=I$8),
      NA(),
      (INDIRECT(ADDRESS(I$7+ROWS($B$18:G135)-1,COLUMN(INDIRECT(I$9&amp;1)),,,I$6))-I$10)/(I$11-I$10)*(I$13-I$12))*IF(I$14&lt;&gt;"",I$14,1))</f>
        <v>#N/A</v>
      </c>
      <c r="J135" s="4" t="e" cm="1">
        <f t="array" aca="1" ref="J135" ca="1">IF(ROWS(H$18:H135)&gt;J$8-J$7+1,
   NA(),
   IF(OR(J$7="",J$8="",J$7=J$8),
      NA(),
      (INDIRECT(ADDRESS(J$7+ROWS($B$18:H135)-1,COLUMN(INDIRECT(J$9&amp;1)),,,J$6))-J$10)/(J$11-J$10)*(J$13-J$12))*IF(J$14&lt;&gt;"",J$14,1))</f>
        <v>#N/A</v>
      </c>
      <c r="K135" s="4" t="e" cm="1">
        <f t="array" aca="1" ref="K135" ca="1">IF(ROWS(I$18:I135)&gt;K$8-K$7+1,
   NA(),
   IF(OR(K$7="",K$8="",K$7=K$8),
      NA(),
      (INDIRECT(ADDRESS(K$7+ROWS($B$18:I135)-1,COLUMN(INDIRECT(K$9&amp;1)),,,K$6))-K$10)/(K$11-K$10)*(K$13-K$12))*IF(K$14&lt;&gt;"",K$14,1))</f>
        <v>#N/A</v>
      </c>
      <c r="L135" s="4" t="e" cm="1">
        <f t="array" aca="1" ref="L135" ca="1">IF(ROWS(J$18:J135)&gt;L$8-L$7+1,
   NA(),
   IF(OR(L$7="",L$8="",L$7=L$8),
      NA(),
      (INDIRECT(ADDRESS(L$7+ROWS($B$18:J135)-1,COLUMN(INDIRECT(L$9&amp;1)),,,L$6))-L$10)/(L$11-L$10)*(L$13-L$12))*IF(L$14&lt;&gt;"",L$14,1))</f>
        <v>#N/A</v>
      </c>
    </row>
    <row r="136" spans="3:12" x14ac:dyDescent="0.2">
      <c r="C136" s="3" t="e" cm="1">
        <f t="array" aca="1" ref="C136" ca="1">IF(ROWS(A$18:A136)&gt;C$8-C$7+1,
   NA(),
   IF(OR(C$7="",C$8="",C$7=C$8),
      NA(),
      (INDIRECT(ADDRESS(C$7+ROWS(A$18:$B136)-1,COLUMN(INDIRECT(C$9&amp;1)),,,C$6))-C$10)/(C$11-C$10)*(C$13-C$12))*IF(C$14&lt;&gt;"",C$14,1))</f>
        <v>#N/A</v>
      </c>
      <c r="D136" s="4" t="e" cm="1">
        <f t="array" aca="1" ref="D136" ca="1">IF(ROWS(B$18:B136)&gt;D$8-D$7+1,
   NA(),
   IF(OR(D$7="",D$8="",D$7=D$8),
      NA(),
      (INDIRECT(ADDRESS(D$7+ROWS($B$18:B136)-1,COLUMN(INDIRECT(D$9&amp;1)),,,D$6))-D$10)/(D$11-D$10)*(D$13-D$12))*IF(D$14&lt;&gt;"",D$14,1))</f>
        <v>#N/A</v>
      </c>
      <c r="E136" s="4" t="e" cm="1">
        <f t="array" aca="1" ref="E136" ca="1">IF(ROWS(C$18:C136)&gt;E$8-E$7+1,
   NA(),
   IF(OR(E$7="",E$8="",E$7=E$8),
      NA(),
      (INDIRECT(ADDRESS(E$7+ROWS($B$18:C136)-1,COLUMN(INDIRECT(E$9&amp;1)),,,E$6))-E$10)/(E$11-E$10)*(E$13-E$12))*IF(E$14&lt;&gt;"",E$14,1))</f>
        <v>#N/A</v>
      </c>
      <c r="F136" s="4" t="e" cm="1">
        <f t="array" aca="1" ref="F136" ca="1">IF(ROWS(D$18:D136)&gt;F$8-F$7+1,
   NA(),
   IF(OR(F$7="",F$8="",F$7=F$8),
      NA(),
      (INDIRECT(ADDRESS(F$7+ROWS($B$18:D136)-1,COLUMN(INDIRECT(F$9&amp;1)),,,F$6))-F$10)/(F$11-F$10)*(F$13-F$12))*IF(F$14&lt;&gt;"",F$14,1))</f>
        <v>#N/A</v>
      </c>
      <c r="I136" s="3" t="e" cm="1">
        <f t="array" aca="1" ref="I136" ca="1">IF(ROWS(G$18:G136)&gt;I$8-I$7+1,
   NA(),
   IF(OR(I$7="",I$8="",I$7=I$8),
      NA(),
      (INDIRECT(ADDRESS(I$7+ROWS($B$18:G136)-1,COLUMN(INDIRECT(I$9&amp;1)),,,I$6))-I$10)/(I$11-I$10)*(I$13-I$12))*IF(I$14&lt;&gt;"",I$14,1))</f>
        <v>#N/A</v>
      </c>
      <c r="J136" s="4" t="e" cm="1">
        <f t="array" aca="1" ref="J136" ca="1">IF(ROWS(H$18:H136)&gt;J$8-J$7+1,
   NA(),
   IF(OR(J$7="",J$8="",J$7=J$8),
      NA(),
      (INDIRECT(ADDRESS(J$7+ROWS($B$18:H136)-1,COLUMN(INDIRECT(J$9&amp;1)),,,J$6))-J$10)/(J$11-J$10)*(J$13-J$12))*IF(J$14&lt;&gt;"",J$14,1))</f>
        <v>#N/A</v>
      </c>
      <c r="K136" s="4" t="e" cm="1">
        <f t="array" aca="1" ref="K136" ca="1">IF(ROWS(I$18:I136)&gt;K$8-K$7+1,
   NA(),
   IF(OR(K$7="",K$8="",K$7=K$8),
      NA(),
      (INDIRECT(ADDRESS(K$7+ROWS($B$18:I136)-1,COLUMN(INDIRECT(K$9&amp;1)),,,K$6))-K$10)/(K$11-K$10)*(K$13-K$12))*IF(K$14&lt;&gt;"",K$14,1))</f>
        <v>#N/A</v>
      </c>
      <c r="L136" s="4" t="e" cm="1">
        <f t="array" aca="1" ref="L136" ca="1">IF(ROWS(J$18:J136)&gt;L$8-L$7+1,
   NA(),
   IF(OR(L$7="",L$8="",L$7=L$8),
      NA(),
      (INDIRECT(ADDRESS(L$7+ROWS($B$18:J136)-1,COLUMN(INDIRECT(L$9&amp;1)),,,L$6))-L$10)/(L$11-L$10)*(L$13-L$12))*IF(L$14&lt;&gt;"",L$14,1))</f>
        <v>#N/A</v>
      </c>
    </row>
    <row r="137" spans="3:12" x14ac:dyDescent="0.2">
      <c r="C137" s="3" t="e" cm="1">
        <f t="array" aca="1" ref="C137" ca="1">IF(ROWS(A$18:A137)&gt;C$8-C$7+1,
   NA(),
   IF(OR(C$7="",C$8="",C$7=C$8),
      NA(),
      (INDIRECT(ADDRESS(C$7+ROWS(A$18:$B137)-1,COLUMN(INDIRECT(C$9&amp;1)),,,C$6))-C$10)/(C$11-C$10)*(C$13-C$12))*IF(C$14&lt;&gt;"",C$14,1))</f>
        <v>#N/A</v>
      </c>
      <c r="D137" s="4" t="e" cm="1">
        <f t="array" aca="1" ref="D137" ca="1">IF(ROWS(B$18:B137)&gt;D$8-D$7+1,
   NA(),
   IF(OR(D$7="",D$8="",D$7=D$8),
      NA(),
      (INDIRECT(ADDRESS(D$7+ROWS($B$18:B137)-1,COLUMN(INDIRECT(D$9&amp;1)),,,D$6))-D$10)/(D$11-D$10)*(D$13-D$12))*IF(D$14&lt;&gt;"",D$14,1))</f>
        <v>#N/A</v>
      </c>
      <c r="E137" s="4" t="e" cm="1">
        <f t="array" aca="1" ref="E137" ca="1">IF(ROWS(C$18:C137)&gt;E$8-E$7+1,
   NA(),
   IF(OR(E$7="",E$8="",E$7=E$8),
      NA(),
      (INDIRECT(ADDRESS(E$7+ROWS($B$18:C137)-1,COLUMN(INDIRECT(E$9&amp;1)),,,E$6))-E$10)/(E$11-E$10)*(E$13-E$12))*IF(E$14&lt;&gt;"",E$14,1))</f>
        <v>#N/A</v>
      </c>
      <c r="F137" s="4" t="e" cm="1">
        <f t="array" aca="1" ref="F137" ca="1">IF(ROWS(D$18:D137)&gt;F$8-F$7+1,
   NA(),
   IF(OR(F$7="",F$8="",F$7=F$8),
      NA(),
      (INDIRECT(ADDRESS(F$7+ROWS($B$18:D137)-1,COLUMN(INDIRECT(F$9&amp;1)),,,F$6))-F$10)/(F$11-F$10)*(F$13-F$12))*IF(F$14&lt;&gt;"",F$14,1))</f>
        <v>#N/A</v>
      </c>
      <c r="I137" s="3" t="e" cm="1">
        <f t="array" aca="1" ref="I137" ca="1">IF(ROWS(G$18:G137)&gt;I$8-I$7+1,
   NA(),
   IF(OR(I$7="",I$8="",I$7=I$8),
      NA(),
      (INDIRECT(ADDRESS(I$7+ROWS($B$18:G137)-1,COLUMN(INDIRECT(I$9&amp;1)),,,I$6))-I$10)/(I$11-I$10)*(I$13-I$12))*IF(I$14&lt;&gt;"",I$14,1))</f>
        <v>#N/A</v>
      </c>
      <c r="J137" s="4" t="e" cm="1">
        <f t="array" aca="1" ref="J137" ca="1">IF(ROWS(H$18:H137)&gt;J$8-J$7+1,
   NA(),
   IF(OR(J$7="",J$8="",J$7=J$8),
      NA(),
      (INDIRECT(ADDRESS(J$7+ROWS($B$18:H137)-1,COLUMN(INDIRECT(J$9&amp;1)),,,J$6))-J$10)/(J$11-J$10)*(J$13-J$12))*IF(J$14&lt;&gt;"",J$14,1))</f>
        <v>#N/A</v>
      </c>
      <c r="K137" s="4" t="e" cm="1">
        <f t="array" aca="1" ref="K137" ca="1">IF(ROWS(I$18:I137)&gt;K$8-K$7+1,
   NA(),
   IF(OR(K$7="",K$8="",K$7=K$8),
      NA(),
      (INDIRECT(ADDRESS(K$7+ROWS($B$18:I137)-1,COLUMN(INDIRECT(K$9&amp;1)),,,K$6))-K$10)/(K$11-K$10)*(K$13-K$12))*IF(K$14&lt;&gt;"",K$14,1))</f>
        <v>#N/A</v>
      </c>
      <c r="L137" s="4" t="e" cm="1">
        <f t="array" aca="1" ref="L137" ca="1">IF(ROWS(J$18:J137)&gt;L$8-L$7+1,
   NA(),
   IF(OR(L$7="",L$8="",L$7=L$8),
      NA(),
      (INDIRECT(ADDRESS(L$7+ROWS($B$18:J137)-1,COLUMN(INDIRECT(L$9&amp;1)),,,L$6))-L$10)/(L$11-L$10)*(L$13-L$12))*IF(L$14&lt;&gt;"",L$14,1))</f>
        <v>#N/A</v>
      </c>
    </row>
    <row r="138" spans="3:12" x14ac:dyDescent="0.2">
      <c r="C138" s="3" t="e" cm="1">
        <f t="array" aca="1" ref="C138" ca="1">IF(ROWS(A$18:A138)&gt;C$8-C$7+1,
   NA(),
   IF(OR(C$7="",C$8="",C$7=C$8),
      NA(),
      (INDIRECT(ADDRESS(C$7+ROWS(A$18:$B138)-1,COLUMN(INDIRECT(C$9&amp;1)),,,C$6))-C$10)/(C$11-C$10)*(C$13-C$12))*IF(C$14&lt;&gt;"",C$14,1))</f>
        <v>#N/A</v>
      </c>
      <c r="D138" s="4" t="e" cm="1">
        <f t="array" aca="1" ref="D138" ca="1">IF(ROWS(B$18:B138)&gt;D$8-D$7+1,
   NA(),
   IF(OR(D$7="",D$8="",D$7=D$8),
      NA(),
      (INDIRECT(ADDRESS(D$7+ROWS($B$18:B138)-1,COLUMN(INDIRECT(D$9&amp;1)),,,D$6))-D$10)/(D$11-D$10)*(D$13-D$12))*IF(D$14&lt;&gt;"",D$14,1))</f>
        <v>#N/A</v>
      </c>
      <c r="E138" s="4" t="e" cm="1">
        <f t="array" aca="1" ref="E138" ca="1">IF(ROWS(C$18:C138)&gt;E$8-E$7+1,
   NA(),
   IF(OR(E$7="",E$8="",E$7=E$8),
      NA(),
      (INDIRECT(ADDRESS(E$7+ROWS($B$18:C138)-1,COLUMN(INDIRECT(E$9&amp;1)),,,E$6))-E$10)/(E$11-E$10)*(E$13-E$12))*IF(E$14&lt;&gt;"",E$14,1))</f>
        <v>#N/A</v>
      </c>
      <c r="F138" s="4" t="e" cm="1">
        <f t="array" aca="1" ref="F138" ca="1">IF(ROWS(D$18:D138)&gt;F$8-F$7+1,
   NA(),
   IF(OR(F$7="",F$8="",F$7=F$8),
      NA(),
      (INDIRECT(ADDRESS(F$7+ROWS($B$18:D138)-1,COLUMN(INDIRECT(F$9&amp;1)),,,F$6))-F$10)/(F$11-F$10)*(F$13-F$12))*IF(F$14&lt;&gt;"",F$14,1))</f>
        <v>#N/A</v>
      </c>
      <c r="I138" s="3" t="e" cm="1">
        <f t="array" aca="1" ref="I138" ca="1">IF(ROWS(G$18:G138)&gt;I$8-I$7+1,
   NA(),
   IF(OR(I$7="",I$8="",I$7=I$8),
      NA(),
      (INDIRECT(ADDRESS(I$7+ROWS($B$18:G138)-1,COLUMN(INDIRECT(I$9&amp;1)),,,I$6))-I$10)/(I$11-I$10)*(I$13-I$12))*IF(I$14&lt;&gt;"",I$14,1))</f>
        <v>#N/A</v>
      </c>
      <c r="J138" s="4" t="e" cm="1">
        <f t="array" aca="1" ref="J138" ca="1">IF(ROWS(H$18:H138)&gt;J$8-J$7+1,
   NA(),
   IF(OR(J$7="",J$8="",J$7=J$8),
      NA(),
      (INDIRECT(ADDRESS(J$7+ROWS($B$18:H138)-1,COLUMN(INDIRECT(J$9&amp;1)),,,J$6))-J$10)/(J$11-J$10)*(J$13-J$12))*IF(J$14&lt;&gt;"",J$14,1))</f>
        <v>#N/A</v>
      </c>
      <c r="K138" s="4" t="e" cm="1">
        <f t="array" aca="1" ref="K138" ca="1">IF(ROWS(I$18:I138)&gt;K$8-K$7+1,
   NA(),
   IF(OR(K$7="",K$8="",K$7=K$8),
      NA(),
      (INDIRECT(ADDRESS(K$7+ROWS($B$18:I138)-1,COLUMN(INDIRECT(K$9&amp;1)),,,K$6))-K$10)/(K$11-K$10)*(K$13-K$12))*IF(K$14&lt;&gt;"",K$14,1))</f>
        <v>#N/A</v>
      </c>
      <c r="L138" s="4" t="e" cm="1">
        <f t="array" aca="1" ref="L138" ca="1">IF(ROWS(J$18:J138)&gt;L$8-L$7+1,
   NA(),
   IF(OR(L$7="",L$8="",L$7=L$8),
      NA(),
      (INDIRECT(ADDRESS(L$7+ROWS($B$18:J138)-1,COLUMN(INDIRECT(L$9&amp;1)),,,L$6))-L$10)/(L$11-L$10)*(L$13-L$12))*IF(L$14&lt;&gt;"",L$14,1))</f>
        <v>#N/A</v>
      </c>
    </row>
    <row r="139" spans="3:12" x14ac:dyDescent="0.2">
      <c r="C139" s="3" t="e" cm="1">
        <f t="array" aca="1" ref="C139" ca="1">IF(ROWS(A$18:A139)&gt;C$8-C$7+1,
   NA(),
   IF(OR(C$7="",C$8="",C$7=C$8),
      NA(),
      (INDIRECT(ADDRESS(C$7+ROWS(A$18:$B139)-1,COLUMN(INDIRECT(C$9&amp;1)),,,C$6))-C$10)/(C$11-C$10)*(C$13-C$12))*IF(C$14&lt;&gt;"",C$14,1))</f>
        <v>#N/A</v>
      </c>
      <c r="D139" s="4" t="e" cm="1">
        <f t="array" aca="1" ref="D139" ca="1">IF(ROWS(B$18:B139)&gt;D$8-D$7+1,
   NA(),
   IF(OR(D$7="",D$8="",D$7=D$8),
      NA(),
      (INDIRECT(ADDRESS(D$7+ROWS($B$18:B139)-1,COLUMN(INDIRECT(D$9&amp;1)),,,D$6))-D$10)/(D$11-D$10)*(D$13-D$12))*IF(D$14&lt;&gt;"",D$14,1))</f>
        <v>#N/A</v>
      </c>
      <c r="E139" s="4" t="e" cm="1">
        <f t="array" aca="1" ref="E139" ca="1">IF(ROWS(C$18:C139)&gt;E$8-E$7+1,
   NA(),
   IF(OR(E$7="",E$8="",E$7=E$8),
      NA(),
      (INDIRECT(ADDRESS(E$7+ROWS($B$18:C139)-1,COLUMN(INDIRECT(E$9&amp;1)),,,E$6))-E$10)/(E$11-E$10)*(E$13-E$12))*IF(E$14&lt;&gt;"",E$14,1))</f>
        <v>#N/A</v>
      </c>
      <c r="F139" s="4" t="e" cm="1">
        <f t="array" aca="1" ref="F139" ca="1">IF(ROWS(D$18:D139)&gt;F$8-F$7+1,
   NA(),
   IF(OR(F$7="",F$8="",F$7=F$8),
      NA(),
      (INDIRECT(ADDRESS(F$7+ROWS($B$18:D139)-1,COLUMN(INDIRECT(F$9&amp;1)),,,F$6))-F$10)/(F$11-F$10)*(F$13-F$12))*IF(F$14&lt;&gt;"",F$14,1))</f>
        <v>#N/A</v>
      </c>
      <c r="I139" s="3" t="e" cm="1">
        <f t="array" aca="1" ref="I139" ca="1">IF(ROWS(G$18:G139)&gt;I$8-I$7+1,
   NA(),
   IF(OR(I$7="",I$8="",I$7=I$8),
      NA(),
      (INDIRECT(ADDRESS(I$7+ROWS($B$18:G139)-1,COLUMN(INDIRECT(I$9&amp;1)),,,I$6))-I$10)/(I$11-I$10)*(I$13-I$12))*IF(I$14&lt;&gt;"",I$14,1))</f>
        <v>#N/A</v>
      </c>
      <c r="J139" s="4" t="e" cm="1">
        <f t="array" aca="1" ref="J139" ca="1">IF(ROWS(H$18:H139)&gt;J$8-J$7+1,
   NA(),
   IF(OR(J$7="",J$8="",J$7=J$8),
      NA(),
      (INDIRECT(ADDRESS(J$7+ROWS($B$18:H139)-1,COLUMN(INDIRECT(J$9&amp;1)),,,J$6))-J$10)/(J$11-J$10)*(J$13-J$12))*IF(J$14&lt;&gt;"",J$14,1))</f>
        <v>#N/A</v>
      </c>
      <c r="K139" s="4" t="e" cm="1">
        <f t="array" aca="1" ref="K139" ca="1">IF(ROWS(I$18:I139)&gt;K$8-K$7+1,
   NA(),
   IF(OR(K$7="",K$8="",K$7=K$8),
      NA(),
      (INDIRECT(ADDRESS(K$7+ROWS($B$18:I139)-1,COLUMN(INDIRECT(K$9&amp;1)),,,K$6))-K$10)/(K$11-K$10)*(K$13-K$12))*IF(K$14&lt;&gt;"",K$14,1))</f>
        <v>#N/A</v>
      </c>
      <c r="L139" s="4" t="e" cm="1">
        <f t="array" aca="1" ref="L139" ca="1">IF(ROWS(J$18:J139)&gt;L$8-L$7+1,
   NA(),
   IF(OR(L$7="",L$8="",L$7=L$8),
      NA(),
      (INDIRECT(ADDRESS(L$7+ROWS($B$18:J139)-1,COLUMN(INDIRECT(L$9&amp;1)),,,L$6))-L$10)/(L$11-L$10)*(L$13-L$12))*IF(L$14&lt;&gt;"",L$14,1))</f>
        <v>#N/A</v>
      </c>
    </row>
    <row r="140" spans="3:12" x14ac:dyDescent="0.2">
      <c r="C140" s="3" t="e" cm="1">
        <f t="array" aca="1" ref="C140" ca="1">IF(ROWS(A$18:A140)&gt;C$8-C$7+1,
   NA(),
   IF(OR(C$7="",C$8="",C$7=C$8),
      NA(),
      (INDIRECT(ADDRESS(C$7+ROWS(A$18:$B140)-1,COLUMN(INDIRECT(C$9&amp;1)),,,C$6))-C$10)/(C$11-C$10)*(C$13-C$12))*IF(C$14&lt;&gt;"",C$14,1))</f>
        <v>#N/A</v>
      </c>
      <c r="D140" s="4" t="e" cm="1">
        <f t="array" aca="1" ref="D140" ca="1">IF(ROWS(B$18:B140)&gt;D$8-D$7+1,
   NA(),
   IF(OR(D$7="",D$8="",D$7=D$8),
      NA(),
      (INDIRECT(ADDRESS(D$7+ROWS($B$18:B140)-1,COLUMN(INDIRECT(D$9&amp;1)),,,D$6))-D$10)/(D$11-D$10)*(D$13-D$12))*IF(D$14&lt;&gt;"",D$14,1))</f>
        <v>#N/A</v>
      </c>
      <c r="E140" s="4" t="e" cm="1">
        <f t="array" aca="1" ref="E140" ca="1">IF(ROWS(C$18:C140)&gt;E$8-E$7+1,
   NA(),
   IF(OR(E$7="",E$8="",E$7=E$8),
      NA(),
      (INDIRECT(ADDRESS(E$7+ROWS($B$18:C140)-1,COLUMN(INDIRECT(E$9&amp;1)),,,E$6))-E$10)/(E$11-E$10)*(E$13-E$12))*IF(E$14&lt;&gt;"",E$14,1))</f>
        <v>#N/A</v>
      </c>
      <c r="F140" s="4" t="e" cm="1">
        <f t="array" aca="1" ref="F140" ca="1">IF(ROWS(D$18:D140)&gt;F$8-F$7+1,
   NA(),
   IF(OR(F$7="",F$8="",F$7=F$8),
      NA(),
      (INDIRECT(ADDRESS(F$7+ROWS($B$18:D140)-1,COLUMN(INDIRECT(F$9&amp;1)),,,F$6))-F$10)/(F$11-F$10)*(F$13-F$12))*IF(F$14&lt;&gt;"",F$14,1))</f>
        <v>#N/A</v>
      </c>
      <c r="I140" s="3" t="e" cm="1">
        <f t="array" aca="1" ref="I140" ca="1">IF(ROWS(G$18:G140)&gt;I$8-I$7+1,
   NA(),
   IF(OR(I$7="",I$8="",I$7=I$8),
      NA(),
      (INDIRECT(ADDRESS(I$7+ROWS($B$18:G140)-1,COLUMN(INDIRECT(I$9&amp;1)),,,I$6))-I$10)/(I$11-I$10)*(I$13-I$12))*IF(I$14&lt;&gt;"",I$14,1))</f>
        <v>#N/A</v>
      </c>
      <c r="J140" s="4" t="e" cm="1">
        <f t="array" aca="1" ref="J140" ca="1">IF(ROWS(H$18:H140)&gt;J$8-J$7+1,
   NA(),
   IF(OR(J$7="",J$8="",J$7=J$8),
      NA(),
      (INDIRECT(ADDRESS(J$7+ROWS($B$18:H140)-1,COLUMN(INDIRECT(J$9&amp;1)),,,J$6))-J$10)/(J$11-J$10)*(J$13-J$12))*IF(J$14&lt;&gt;"",J$14,1))</f>
        <v>#N/A</v>
      </c>
      <c r="K140" s="4" t="e" cm="1">
        <f t="array" aca="1" ref="K140" ca="1">IF(ROWS(I$18:I140)&gt;K$8-K$7+1,
   NA(),
   IF(OR(K$7="",K$8="",K$7=K$8),
      NA(),
      (INDIRECT(ADDRESS(K$7+ROWS($B$18:I140)-1,COLUMN(INDIRECT(K$9&amp;1)),,,K$6))-K$10)/(K$11-K$10)*(K$13-K$12))*IF(K$14&lt;&gt;"",K$14,1))</f>
        <v>#N/A</v>
      </c>
      <c r="L140" s="4" t="e" cm="1">
        <f t="array" aca="1" ref="L140" ca="1">IF(ROWS(J$18:J140)&gt;L$8-L$7+1,
   NA(),
   IF(OR(L$7="",L$8="",L$7=L$8),
      NA(),
      (INDIRECT(ADDRESS(L$7+ROWS($B$18:J140)-1,COLUMN(INDIRECT(L$9&amp;1)),,,L$6))-L$10)/(L$11-L$10)*(L$13-L$12))*IF(L$14&lt;&gt;"",L$14,1))</f>
        <v>#N/A</v>
      </c>
    </row>
    <row r="141" spans="3:12" x14ac:dyDescent="0.2">
      <c r="C141" s="3" t="e" cm="1">
        <f t="array" aca="1" ref="C141" ca="1">IF(ROWS(A$18:A141)&gt;C$8-C$7+1,
   NA(),
   IF(OR(C$7="",C$8="",C$7=C$8),
      NA(),
      (INDIRECT(ADDRESS(C$7+ROWS(A$18:$B141)-1,COLUMN(INDIRECT(C$9&amp;1)),,,C$6))-C$10)/(C$11-C$10)*(C$13-C$12))*IF(C$14&lt;&gt;"",C$14,1))</f>
        <v>#N/A</v>
      </c>
      <c r="D141" s="4" t="e" cm="1">
        <f t="array" aca="1" ref="D141" ca="1">IF(ROWS(B$18:B141)&gt;D$8-D$7+1,
   NA(),
   IF(OR(D$7="",D$8="",D$7=D$8),
      NA(),
      (INDIRECT(ADDRESS(D$7+ROWS($B$18:B141)-1,COLUMN(INDIRECT(D$9&amp;1)),,,D$6))-D$10)/(D$11-D$10)*(D$13-D$12))*IF(D$14&lt;&gt;"",D$14,1))</f>
        <v>#N/A</v>
      </c>
      <c r="E141" s="4" t="e" cm="1">
        <f t="array" aca="1" ref="E141" ca="1">IF(ROWS(C$18:C141)&gt;E$8-E$7+1,
   NA(),
   IF(OR(E$7="",E$8="",E$7=E$8),
      NA(),
      (INDIRECT(ADDRESS(E$7+ROWS($B$18:C141)-1,COLUMN(INDIRECT(E$9&amp;1)),,,E$6))-E$10)/(E$11-E$10)*(E$13-E$12))*IF(E$14&lt;&gt;"",E$14,1))</f>
        <v>#N/A</v>
      </c>
      <c r="F141" s="4" t="e" cm="1">
        <f t="array" aca="1" ref="F141" ca="1">IF(ROWS(D$18:D141)&gt;F$8-F$7+1,
   NA(),
   IF(OR(F$7="",F$8="",F$7=F$8),
      NA(),
      (INDIRECT(ADDRESS(F$7+ROWS($B$18:D141)-1,COLUMN(INDIRECT(F$9&amp;1)),,,F$6))-F$10)/(F$11-F$10)*(F$13-F$12))*IF(F$14&lt;&gt;"",F$14,1))</f>
        <v>#N/A</v>
      </c>
      <c r="I141" s="3" t="e" cm="1">
        <f t="array" aca="1" ref="I141" ca="1">IF(ROWS(G$18:G141)&gt;I$8-I$7+1,
   NA(),
   IF(OR(I$7="",I$8="",I$7=I$8),
      NA(),
      (INDIRECT(ADDRESS(I$7+ROWS($B$18:G141)-1,COLUMN(INDIRECT(I$9&amp;1)),,,I$6))-I$10)/(I$11-I$10)*(I$13-I$12))*IF(I$14&lt;&gt;"",I$14,1))</f>
        <v>#N/A</v>
      </c>
      <c r="J141" s="4" t="e" cm="1">
        <f t="array" aca="1" ref="J141" ca="1">IF(ROWS(H$18:H141)&gt;J$8-J$7+1,
   NA(),
   IF(OR(J$7="",J$8="",J$7=J$8),
      NA(),
      (INDIRECT(ADDRESS(J$7+ROWS($B$18:H141)-1,COLUMN(INDIRECT(J$9&amp;1)),,,J$6))-J$10)/(J$11-J$10)*(J$13-J$12))*IF(J$14&lt;&gt;"",J$14,1))</f>
        <v>#N/A</v>
      </c>
      <c r="K141" s="4" t="e" cm="1">
        <f t="array" aca="1" ref="K141" ca="1">IF(ROWS(I$18:I141)&gt;K$8-K$7+1,
   NA(),
   IF(OR(K$7="",K$8="",K$7=K$8),
      NA(),
      (INDIRECT(ADDRESS(K$7+ROWS($B$18:I141)-1,COLUMN(INDIRECT(K$9&amp;1)),,,K$6))-K$10)/(K$11-K$10)*(K$13-K$12))*IF(K$14&lt;&gt;"",K$14,1))</f>
        <v>#N/A</v>
      </c>
      <c r="L141" s="4" t="e" cm="1">
        <f t="array" aca="1" ref="L141" ca="1">IF(ROWS(J$18:J141)&gt;L$8-L$7+1,
   NA(),
   IF(OR(L$7="",L$8="",L$7=L$8),
      NA(),
      (INDIRECT(ADDRESS(L$7+ROWS($B$18:J141)-1,COLUMN(INDIRECT(L$9&amp;1)),,,L$6))-L$10)/(L$11-L$10)*(L$13-L$12))*IF(L$14&lt;&gt;"",L$14,1))</f>
        <v>#N/A</v>
      </c>
    </row>
    <row r="142" spans="3:12" x14ac:dyDescent="0.2">
      <c r="C142" s="3" t="e" cm="1">
        <f t="array" aca="1" ref="C142" ca="1">IF(ROWS(A$18:A142)&gt;C$8-C$7+1,
   NA(),
   IF(OR(C$7="",C$8="",C$7=C$8),
      NA(),
      (INDIRECT(ADDRESS(C$7+ROWS(A$18:$B142)-1,COLUMN(INDIRECT(C$9&amp;1)),,,C$6))-C$10)/(C$11-C$10)*(C$13-C$12))*IF(C$14&lt;&gt;"",C$14,1))</f>
        <v>#N/A</v>
      </c>
      <c r="D142" s="4" t="e" cm="1">
        <f t="array" aca="1" ref="D142" ca="1">IF(ROWS(B$18:B142)&gt;D$8-D$7+1,
   NA(),
   IF(OR(D$7="",D$8="",D$7=D$8),
      NA(),
      (INDIRECT(ADDRESS(D$7+ROWS($B$18:B142)-1,COLUMN(INDIRECT(D$9&amp;1)),,,D$6))-D$10)/(D$11-D$10)*(D$13-D$12))*IF(D$14&lt;&gt;"",D$14,1))</f>
        <v>#N/A</v>
      </c>
      <c r="E142" s="4" t="e" cm="1">
        <f t="array" aca="1" ref="E142" ca="1">IF(ROWS(C$18:C142)&gt;E$8-E$7+1,
   NA(),
   IF(OR(E$7="",E$8="",E$7=E$8),
      NA(),
      (INDIRECT(ADDRESS(E$7+ROWS($B$18:C142)-1,COLUMN(INDIRECT(E$9&amp;1)),,,E$6))-E$10)/(E$11-E$10)*(E$13-E$12))*IF(E$14&lt;&gt;"",E$14,1))</f>
        <v>#N/A</v>
      </c>
      <c r="F142" s="4" t="e" cm="1">
        <f t="array" aca="1" ref="F142" ca="1">IF(ROWS(D$18:D142)&gt;F$8-F$7+1,
   NA(),
   IF(OR(F$7="",F$8="",F$7=F$8),
      NA(),
      (INDIRECT(ADDRESS(F$7+ROWS($B$18:D142)-1,COLUMN(INDIRECT(F$9&amp;1)),,,F$6))-F$10)/(F$11-F$10)*(F$13-F$12))*IF(F$14&lt;&gt;"",F$14,1))</f>
        <v>#N/A</v>
      </c>
      <c r="I142" s="3" t="e" cm="1">
        <f t="array" aca="1" ref="I142" ca="1">IF(ROWS(G$18:G142)&gt;I$8-I$7+1,
   NA(),
   IF(OR(I$7="",I$8="",I$7=I$8),
      NA(),
      (INDIRECT(ADDRESS(I$7+ROWS($B$18:G142)-1,COLUMN(INDIRECT(I$9&amp;1)),,,I$6))-I$10)/(I$11-I$10)*(I$13-I$12))*IF(I$14&lt;&gt;"",I$14,1))</f>
        <v>#N/A</v>
      </c>
      <c r="J142" s="4" t="e" cm="1">
        <f t="array" aca="1" ref="J142" ca="1">IF(ROWS(H$18:H142)&gt;J$8-J$7+1,
   NA(),
   IF(OR(J$7="",J$8="",J$7=J$8),
      NA(),
      (INDIRECT(ADDRESS(J$7+ROWS($B$18:H142)-1,COLUMN(INDIRECT(J$9&amp;1)),,,J$6))-J$10)/(J$11-J$10)*(J$13-J$12))*IF(J$14&lt;&gt;"",J$14,1))</f>
        <v>#N/A</v>
      </c>
      <c r="K142" s="4" t="e" cm="1">
        <f t="array" aca="1" ref="K142" ca="1">IF(ROWS(I$18:I142)&gt;K$8-K$7+1,
   NA(),
   IF(OR(K$7="",K$8="",K$7=K$8),
      NA(),
      (INDIRECT(ADDRESS(K$7+ROWS($B$18:I142)-1,COLUMN(INDIRECT(K$9&amp;1)),,,K$6))-K$10)/(K$11-K$10)*(K$13-K$12))*IF(K$14&lt;&gt;"",K$14,1))</f>
        <v>#N/A</v>
      </c>
      <c r="L142" s="4" t="e" cm="1">
        <f t="array" aca="1" ref="L142" ca="1">IF(ROWS(J$18:J142)&gt;L$8-L$7+1,
   NA(),
   IF(OR(L$7="",L$8="",L$7=L$8),
      NA(),
      (INDIRECT(ADDRESS(L$7+ROWS($B$18:J142)-1,COLUMN(INDIRECT(L$9&amp;1)),,,L$6))-L$10)/(L$11-L$10)*(L$13-L$12))*IF(L$14&lt;&gt;"",L$14,1))</f>
        <v>#N/A</v>
      </c>
    </row>
    <row r="143" spans="3:12" x14ac:dyDescent="0.2">
      <c r="C143" s="3" t="e" cm="1">
        <f t="array" aca="1" ref="C143" ca="1">IF(ROWS(A$18:A143)&gt;C$8-C$7+1,
   NA(),
   IF(OR(C$7="",C$8="",C$7=C$8),
      NA(),
      (INDIRECT(ADDRESS(C$7+ROWS(A$18:$B143)-1,COLUMN(INDIRECT(C$9&amp;1)),,,C$6))-C$10)/(C$11-C$10)*(C$13-C$12))*IF(C$14&lt;&gt;"",C$14,1))</f>
        <v>#N/A</v>
      </c>
      <c r="D143" s="4" t="e" cm="1">
        <f t="array" aca="1" ref="D143" ca="1">IF(ROWS(B$18:B143)&gt;D$8-D$7+1,
   NA(),
   IF(OR(D$7="",D$8="",D$7=D$8),
      NA(),
      (INDIRECT(ADDRESS(D$7+ROWS($B$18:B143)-1,COLUMN(INDIRECT(D$9&amp;1)),,,D$6))-D$10)/(D$11-D$10)*(D$13-D$12))*IF(D$14&lt;&gt;"",D$14,1))</f>
        <v>#N/A</v>
      </c>
      <c r="E143" s="4" t="e" cm="1">
        <f t="array" aca="1" ref="E143" ca="1">IF(ROWS(C$18:C143)&gt;E$8-E$7+1,
   NA(),
   IF(OR(E$7="",E$8="",E$7=E$8),
      NA(),
      (INDIRECT(ADDRESS(E$7+ROWS($B$18:C143)-1,COLUMN(INDIRECT(E$9&amp;1)),,,E$6))-E$10)/(E$11-E$10)*(E$13-E$12))*IF(E$14&lt;&gt;"",E$14,1))</f>
        <v>#N/A</v>
      </c>
      <c r="F143" s="4" t="e" cm="1">
        <f t="array" aca="1" ref="F143" ca="1">IF(ROWS(D$18:D143)&gt;F$8-F$7+1,
   NA(),
   IF(OR(F$7="",F$8="",F$7=F$8),
      NA(),
      (INDIRECT(ADDRESS(F$7+ROWS($B$18:D143)-1,COLUMN(INDIRECT(F$9&amp;1)),,,F$6))-F$10)/(F$11-F$10)*(F$13-F$12))*IF(F$14&lt;&gt;"",F$14,1))</f>
        <v>#N/A</v>
      </c>
      <c r="I143" s="3" t="e" cm="1">
        <f t="array" aca="1" ref="I143" ca="1">IF(ROWS(G$18:G143)&gt;I$8-I$7+1,
   NA(),
   IF(OR(I$7="",I$8="",I$7=I$8),
      NA(),
      (INDIRECT(ADDRESS(I$7+ROWS($B$18:G143)-1,COLUMN(INDIRECT(I$9&amp;1)),,,I$6))-I$10)/(I$11-I$10)*(I$13-I$12))*IF(I$14&lt;&gt;"",I$14,1))</f>
        <v>#N/A</v>
      </c>
      <c r="J143" s="4" t="e" cm="1">
        <f t="array" aca="1" ref="J143" ca="1">IF(ROWS(H$18:H143)&gt;J$8-J$7+1,
   NA(),
   IF(OR(J$7="",J$8="",J$7=J$8),
      NA(),
      (INDIRECT(ADDRESS(J$7+ROWS($B$18:H143)-1,COLUMN(INDIRECT(J$9&amp;1)),,,J$6))-J$10)/(J$11-J$10)*(J$13-J$12))*IF(J$14&lt;&gt;"",J$14,1))</f>
        <v>#N/A</v>
      </c>
      <c r="K143" s="4" t="e" cm="1">
        <f t="array" aca="1" ref="K143" ca="1">IF(ROWS(I$18:I143)&gt;K$8-K$7+1,
   NA(),
   IF(OR(K$7="",K$8="",K$7=K$8),
      NA(),
      (INDIRECT(ADDRESS(K$7+ROWS($B$18:I143)-1,COLUMN(INDIRECT(K$9&amp;1)),,,K$6))-K$10)/(K$11-K$10)*(K$13-K$12))*IF(K$14&lt;&gt;"",K$14,1))</f>
        <v>#N/A</v>
      </c>
      <c r="L143" s="4" t="e" cm="1">
        <f t="array" aca="1" ref="L143" ca="1">IF(ROWS(J$18:J143)&gt;L$8-L$7+1,
   NA(),
   IF(OR(L$7="",L$8="",L$7=L$8),
      NA(),
      (INDIRECT(ADDRESS(L$7+ROWS($B$18:J143)-1,COLUMN(INDIRECT(L$9&amp;1)),,,L$6))-L$10)/(L$11-L$10)*(L$13-L$12))*IF(L$14&lt;&gt;"",L$14,1))</f>
        <v>#N/A</v>
      </c>
    </row>
    <row r="144" spans="3:12" x14ac:dyDescent="0.2">
      <c r="C144" s="3" t="e" cm="1">
        <f t="array" aca="1" ref="C144" ca="1">IF(ROWS(A$18:A144)&gt;C$8-C$7+1,
   NA(),
   IF(OR(C$7="",C$8="",C$7=C$8),
      NA(),
      (INDIRECT(ADDRESS(C$7+ROWS(A$18:$B144)-1,COLUMN(INDIRECT(C$9&amp;1)),,,C$6))-C$10)/(C$11-C$10)*(C$13-C$12))*IF(C$14&lt;&gt;"",C$14,1))</f>
        <v>#N/A</v>
      </c>
      <c r="D144" s="4" t="e" cm="1">
        <f t="array" aca="1" ref="D144" ca="1">IF(ROWS(B$18:B144)&gt;D$8-D$7+1,
   NA(),
   IF(OR(D$7="",D$8="",D$7=D$8),
      NA(),
      (INDIRECT(ADDRESS(D$7+ROWS($B$18:B144)-1,COLUMN(INDIRECT(D$9&amp;1)),,,D$6))-D$10)/(D$11-D$10)*(D$13-D$12))*IF(D$14&lt;&gt;"",D$14,1))</f>
        <v>#N/A</v>
      </c>
      <c r="E144" s="4" t="e" cm="1">
        <f t="array" aca="1" ref="E144" ca="1">IF(ROWS(C$18:C144)&gt;E$8-E$7+1,
   NA(),
   IF(OR(E$7="",E$8="",E$7=E$8),
      NA(),
      (INDIRECT(ADDRESS(E$7+ROWS($B$18:C144)-1,COLUMN(INDIRECT(E$9&amp;1)),,,E$6))-E$10)/(E$11-E$10)*(E$13-E$12))*IF(E$14&lt;&gt;"",E$14,1))</f>
        <v>#N/A</v>
      </c>
      <c r="F144" s="4" t="e" cm="1">
        <f t="array" aca="1" ref="F144" ca="1">IF(ROWS(D$18:D144)&gt;F$8-F$7+1,
   NA(),
   IF(OR(F$7="",F$8="",F$7=F$8),
      NA(),
      (INDIRECT(ADDRESS(F$7+ROWS($B$18:D144)-1,COLUMN(INDIRECT(F$9&amp;1)),,,F$6))-F$10)/(F$11-F$10)*(F$13-F$12))*IF(F$14&lt;&gt;"",F$14,1))</f>
        <v>#N/A</v>
      </c>
      <c r="I144" s="3" t="e" cm="1">
        <f t="array" aca="1" ref="I144" ca="1">IF(ROWS(G$18:G144)&gt;I$8-I$7+1,
   NA(),
   IF(OR(I$7="",I$8="",I$7=I$8),
      NA(),
      (INDIRECT(ADDRESS(I$7+ROWS($B$18:G144)-1,COLUMN(INDIRECT(I$9&amp;1)),,,I$6))-I$10)/(I$11-I$10)*(I$13-I$12))*IF(I$14&lt;&gt;"",I$14,1))</f>
        <v>#N/A</v>
      </c>
      <c r="J144" s="4" t="e" cm="1">
        <f t="array" aca="1" ref="J144" ca="1">IF(ROWS(H$18:H144)&gt;J$8-J$7+1,
   NA(),
   IF(OR(J$7="",J$8="",J$7=J$8),
      NA(),
      (INDIRECT(ADDRESS(J$7+ROWS($B$18:H144)-1,COLUMN(INDIRECT(J$9&amp;1)),,,J$6))-J$10)/(J$11-J$10)*(J$13-J$12))*IF(J$14&lt;&gt;"",J$14,1))</f>
        <v>#N/A</v>
      </c>
      <c r="K144" s="4" t="e" cm="1">
        <f t="array" aca="1" ref="K144" ca="1">IF(ROWS(I$18:I144)&gt;K$8-K$7+1,
   NA(),
   IF(OR(K$7="",K$8="",K$7=K$8),
      NA(),
      (INDIRECT(ADDRESS(K$7+ROWS($B$18:I144)-1,COLUMN(INDIRECT(K$9&amp;1)),,,K$6))-K$10)/(K$11-K$10)*(K$13-K$12))*IF(K$14&lt;&gt;"",K$14,1))</f>
        <v>#N/A</v>
      </c>
      <c r="L144" s="4" t="e" cm="1">
        <f t="array" aca="1" ref="L144" ca="1">IF(ROWS(J$18:J144)&gt;L$8-L$7+1,
   NA(),
   IF(OR(L$7="",L$8="",L$7=L$8),
      NA(),
      (INDIRECT(ADDRESS(L$7+ROWS($B$18:J144)-1,COLUMN(INDIRECT(L$9&amp;1)),,,L$6))-L$10)/(L$11-L$10)*(L$13-L$12))*IF(L$14&lt;&gt;"",L$14,1))</f>
        <v>#N/A</v>
      </c>
    </row>
    <row r="145" spans="3:12" x14ac:dyDescent="0.2">
      <c r="C145" s="3" t="e" cm="1">
        <f t="array" aca="1" ref="C145" ca="1">IF(ROWS(A$18:A145)&gt;C$8-C$7+1,
   NA(),
   IF(OR(C$7="",C$8="",C$7=C$8),
      NA(),
      (INDIRECT(ADDRESS(C$7+ROWS(A$18:$B145)-1,COLUMN(INDIRECT(C$9&amp;1)),,,C$6))-C$10)/(C$11-C$10)*(C$13-C$12))*IF(C$14&lt;&gt;"",C$14,1))</f>
        <v>#N/A</v>
      </c>
      <c r="D145" s="4" t="e" cm="1">
        <f t="array" aca="1" ref="D145" ca="1">IF(ROWS(B$18:B145)&gt;D$8-D$7+1,
   NA(),
   IF(OR(D$7="",D$8="",D$7=D$8),
      NA(),
      (INDIRECT(ADDRESS(D$7+ROWS($B$18:B145)-1,COLUMN(INDIRECT(D$9&amp;1)),,,D$6))-D$10)/(D$11-D$10)*(D$13-D$12))*IF(D$14&lt;&gt;"",D$14,1))</f>
        <v>#N/A</v>
      </c>
      <c r="E145" s="4" t="e" cm="1">
        <f t="array" aca="1" ref="E145" ca="1">IF(ROWS(C$18:C145)&gt;E$8-E$7+1,
   NA(),
   IF(OR(E$7="",E$8="",E$7=E$8),
      NA(),
      (INDIRECT(ADDRESS(E$7+ROWS($B$18:C145)-1,COLUMN(INDIRECT(E$9&amp;1)),,,E$6))-E$10)/(E$11-E$10)*(E$13-E$12))*IF(E$14&lt;&gt;"",E$14,1))</f>
        <v>#N/A</v>
      </c>
      <c r="F145" s="4" t="e" cm="1">
        <f t="array" aca="1" ref="F145" ca="1">IF(ROWS(D$18:D145)&gt;F$8-F$7+1,
   NA(),
   IF(OR(F$7="",F$8="",F$7=F$8),
      NA(),
      (INDIRECT(ADDRESS(F$7+ROWS($B$18:D145)-1,COLUMN(INDIRECT(F$9&amp;1)),,,F$6))-F$10)/(F$11-F$10)*(F$13-F$12))*IF(F$14&lt;&gt;"",F$14,1))</f>
        <v>#N/A</v>
      </c>
      <c r="I145" s="3" t="e" cm="1">
        <f t="array" aca="1" ref="I145" ca="1">IF(ROWS(G$18:G145)&gt;I$8-I$7+1,
   NA(),
   IF(OR(I$7="",I$8="",I$7=I$8),
      NA(),
      (INDIRECT(ADDRESS(I$7+ROWS($B$18:G145)-1,COLUMN(INDIRECT(I$9&amp;1)),,,I$6))-I$10)/(I$11-I$10)*(I$13-I$12))*IF(I$14&lt;&gt;"",I$14,1))</f>
        <v>#N/A</v>
      </c>
      <c r="J145" s="4" t="e" cm="1">
        <f t="array" aca="1" ref="J145" ca="1">IF(ROWS(H$18:H145)&gt;J$8-J$7+1,
   NA(),
   IF(OR(J$7="",J$8="",J$7=J$8),
      NA(),
      (INDIRECT(ADDRESS(J$7+ROWS($B$18:H145)-1,COLUMN(INDIRECT(J$9&amp;1)),,,J$6))-J$10)/(J$11-J$10)*(J$13-J$12))*IF(J$14&lt;&gt;"",J$14,1))</f>
        <v>#N/A</v>
      </c>
      <c r="K145" s="4" t="e" cm="1">
        <f t="array" aca="1" ref="K145" ca="1">IF(ROWS(I$18:I145)&gt;K$8-K$7+1,
   NA(),
   IF(OR(K$7="",K$8="",K$7=K$8),
      NA(),
      (INDIRECT(ADDRESS(K$7+ROWS($B$18:I145)-1,COLUMN(INDIRECT(K$9&amp;1)),,,K$6))-K$10)/(K$11-K$10)*(K$13-K$12))*IF(K$14&lt;&gt;"",K$14,1))</f>
        <v>#N/A</v>
      </c>
      <c r="L145" s="4" t="e" cm="1">
        <f t="array" aca="1" ref="L145" ca="1">IF(ROWS(J$18:J145)&gt;L$8-L$7+1,
   NA(),
   IF(OR(L$7="",L$8="",L$7=L$8),
      NA(),
      (INDIRECT(ADDRESS(L$7+ROWS($B$18:J145)-1,COLUMN(INDIRECT(L$9&amp;1)),,,L$6))-L$10)/(L$11-L$10)*(L$13-L$12))*IF(L$14&lt;&gt;"",L$14,1))</f>
        <v>#N/A</v>
      </c>
    </row>
    <row r="146" spans="3:12" x14ac:dyDescent="0.2">
      <c r="C146" s="3" t="e" cm="1">
        <f t="array" aca="1" ref="C146" ca="1">IF(ROWS(A$18:A146)&gt;C$8-C$7+1,
   NA(),
   IF(OR(C$7="",C$8="",C$7=C$8),
      NA(),
      (INDIRECT(ADDRESS(C$7+ROWS(A$18:$B146)-1,COLUMN(INDIRECT(C$9&amp;1)),,,C$6))-C$10)/(C$11-C$10)*(C$13-C$12))*IF(C$14&lt;&gt;"",C$14,1))</f>
        <v>#N/A</v>
      </c>
      <c r="D146" s="4" t="e" cm="1">
        <f t="array" aca="1" ref="D146" ca="1">IF(ROWS(B$18:B146)&gt;D$8-D$7+1,
   NA(),
   IF(OR(D$7="",D$8="",D$7=D$8),
      NA(),
      (INDIRECT(ADDRESS(D$7+ROWS($B$18:B146)-1,COLUMN(INDIRECT(D$9&amp;1)),,,D$6))-D$10)/(D$11-D$10)*(D$13-D$12))*IF(D$14&lt;&gt;"",D$14,1))</f>
        <v>#N/A</v>
      </c>
      <c r="E146" s="4" t="e" cm="1">
        <f t="array" aca="1" ref="E146" ca="1">IF(ROWS(C$18:C146)&gt;E$8-E$7+1,
   NA(),
   IF(OR(E$7="",E$8="",E$7=E$8),
      NA(),
      (INDIRECT(ADDRESS(E$7+ROWS($B$18:C146)-1,COLUMN(INDIRECT(E$9&amp;1)),,,E$6))-E$10)/(E$11-E$10)*(E$13-E$12))*IF(E$14&lt;&gt;"",E$14,1))</f>
        <v>#N/A</v>
      </c>
      <c r="F146" s="4" t="e" cm="1">
        <f t="array" aca="1" ref="F146" ca="1">IF(ROWS(D$18:D146)&gt;F$8-F$7+1,
   NA(),
   IF(OR(F$7="",F$8="",F$7=F$8),
      NA(),
      (INDIRECT(ADDRESS(F$7+ROWS($B$18:D146)-1,COLUMN(INDIRECT(F$9&amp;1)),,,F$6))-F$10)/(F$11-F$10)*(F$13-F$12))*IF(F$14&lt;&gt;"",F$14,1))</f>
        <v>#N/A</v>
      </c>
      <c r="I146" s="3" t="e" cm="1">
        <f t="array" aca="1" ref="I146" ca="1">IF(ROWS(G$18:G146)&gt;I$8-I$7+1,
   NA(),
   IF(OR(I$7="",I$8="",I$7=I$8),
      NA(),
      (INDIRECT(ADDRESS(I$7+ROWS($B$18:G146)-1,COLUMN(INDIRECT(I$9&amp;1)),,,I$6))-I$10)/(I$11-I$10)*(I$13-I$12))*IF(I$14&lt;&gt;"",I$14,1))</f>
        <v>#N/A</v>
      </c>
      <c r="J146" s="4" t="e" cm="1">
        <f t="array" aca="1" ref="J146" ca="1">IF(ROWS(H$18:H146)&gt;J$8-J$7+1,
   NA(),
   IF(OR(J$7="",J$8="",J$7=J$8),
      NA(),
      (INDIRECT(ADDRESS(J$7+ROWS($B$18:H146)-1,COLUMN(INDIRECT(J$9&amp;1)),,,J$6))-J$10)/(J$11-J$10)*(J$13-J$12))*IF(J$14&lt;&gt;"",J$14,1))</f>
        <v>#N/A</v>
      </c>
      <c r="K146" s="4" t="e" cm="1">
        <f t="array" aca="1" ref="K146" ca="1">IF(ROWS(I$18:I146)&gt;K$8-K$7+1,
   NA(),
   IF(OR(K$7="",K$8="",K$7=K$8),
      NA(),
      (INDIRECT(ADDRESS(K$7+ROWS($B$18:I146)-1,COLUMN(INDIRECT(K$9&amp;1)),,,K$6))-K$10)/(K$11-K$10)*(K$13-K$12))*IF(K$14&lt;&gt;"",K$14,1))</f>
        <v>#N/A</v>
      </c>
      <c r="L146" s="4" t="e" cm="1">
        <f t="array" aca="1" ref="L146" ca="1">IF(ROWS(J$18:J146)&gt;L$8-L$7+1,
   NA(),
   IF(OR(L$7="",L$8="",L$7=L$8),
      NA(),
      (INDIRECT(ADDRESS(L$7+ROWS($B$18:J146)-1,COLUMN(INDIRECT(L$9&amp;1)),,,L$6))-L$10)/(L$11-L$10)*(L$13-L$12))*IF(L$14&lt;&gt;"",L$14,1))</f>
        <v>#N/A</v>
      </c>
    </row>
    <row r="147" spans="3:12" x14ac:dyDescent="0.2">
      <c r="C147" s="3" t="e" cm="1">
        <f t="array" aca="1" ref="C147" ca="1">IF(ROWS(A$18:A147)&gt;C$8-C$7+1,
   NA(),
   IF(OR(C$7="",C$8="",C$7=C$8),
      NA(),
      (INDIRECT(ADDRESS(C$7+ROWS(A$18:$B147)-1,COLUMN(INDIRECT(C$9&amp;1)),,,C$6))-C$10)/(C$11-C$10)*(C$13-C$12))*IF(C$14&lt;&gt;"",C$14,1))</f>
        <v>#N/A</v>
      </c>
      <c r="D147" s="4" t="e" cm="1">
        <f t="array" aca="1" ref="D147" ca="1">IF(ROWS(B$18:B147)&gt;D$8-D$7+1,
   NA(),
   IF(OR(D$7="",D$8="",D$7=D$8),
      NA(),
      (INDIRECT(ADDRESS(D$7+ROWS($B$18:B147)-1,COLUMN(INDIRECT(D$9&amp;1)),,,D$6))-D$10)/(D$11-D$10)*(D$13-D$12))*IF(D$14&lt;&gt;"",D$14,1))</f>
        <v>#N/A</v>
      </c>
      <c r="E147" s="4" t="e" cm="1">
        <f t="array" aca="1" ref="E147" ca="1">IF(ROWS(C$18:C147)&gt;E$8-E$7+1,
   NA(),
   IF(OR(E$7="",E$8="",E$7=E$8),
      NA(),
      (INDIRECT(ADDRESS(E$7+ROWS($B$18:C147)-1,COLUMN(INDIRECT(E$9&amp;1)),,,E$6))-E$10)/(E$11-E$10)*(E$13-E$12))*IF(E$14&lt;&gt;"",E$14,1))</f>
        <v>#N/A</v>
      </c>
      <c r="F147" s="4" t="e" cm="1">
        <f t="array" aca="1" ref="F147" ca="1">IF(ROWS(D$18:D147)&gt;F$8-F$7+1,
   NA(),
   IF(OR(F$7="",F$8="",F$7=F$8),
      NA(),
      (INDIRECT(ADDRESS(F$7+ROWS($B$18:D147)-1,COLUMN(INDIRECT(F$9&amp;1)),,,F$6))-F$10)/(F$11-F$10)*(F$13-F$12))*IF(F$14&lt;&gt;"",F$14,1))</f>
        <v>#N/A</v>
      </c>
      <c r="I147" s="3" t="e" cm="1">
        <f t="array" aca="1" ref="I147" ca="1">IF(ROWS(G$18:G147)&gt;I$8-I$7+1,
   NA(),
   IF(OR(I$7="",I$8="",I$7=I$8),
      NA(),
      (INDIRECT(ADDRESS(I$7+ROWS($B$18:G147)-1,COLUMN(INDIRECT(I$9&amp;1)),,,I$6))-I$10)/(I$11-I$10)*(I$13-I$12))*IF(I$14&lt;&gt;"",I$14,1))</f>
        <v>#N/A</v>
      </c>
      <c r="J147" s="4" t="e" cm="1">
        <f t="array" aca="1" ref="J147" ca="1">IF(ROWS(H$18:H147)&gt;J$8-J$7+1,
   NA(),
   IF(OR(J$7="",J$8="",J$7=J$8),
      NA(),
      (INDIRECT(ADDRESS(J$7+ROWS($B$18:H147)-1,COLUMN(INDIRECT(J$9&amp;1)),,,J$6))-J$10)/(J$11-J$10)*(J$13-J$12))*IF(J$14&lt;&gt;"",J$14,1))</f>
        <v>#N/A</v>
      </c>
      <c r="K147" s="4" t="e" cm="1">
        <f t="array" aca="1" ref="K147" ca="1">IF(ROWS(I$18:I147)&gt;K$8-K$7+1,
   NA(),
   IF(OR(K$7="",K$8="",K$7=K$8),
      NA(),
      (INDIRECT(ADDRESS(K$7+ROWS($B$18:I147)-1,COLUMN(INDIRECT(K$9&amp;1)),,,K$6))-K$10)/(K$11-K$10)*(K$13-K$12))*IF(K$14&lt;&gt;"",K$14,1))</f>
        <v>#N/A</v>
      </c>
      <c r="L147" s="4" t="e" cm="1">
        <f t="array" aca="1" ref="L147" ca="1">IF(ROWS(J$18:J147)&gt;L$8-L$7+1,
   NA(),
   IF(OR(L$7="",L$8="",L$7=L$8),
      NA(),
      (INDIRECT(ADDRESS(L$7+ROWS($B$18:J147)-1,COLUMN(INDIRECT(L$9&amp;1)),,,L$6))-L$10)/(L$11-L$10)*(L$13-L$12))*IF(L$14&lt;&gt;"",L$14,1))</f>
        <v>#N/A</v>
      </c>
    </row>
    <row r="148" spans="3:12" x14ac:dyDescent="0.2">
      <c r="C148" s="3" t="e" cm="1">
        <f t="array" aca="1" ref="C148" ca="1">IF(ROWS(A$18:A148)&gt;C$8-C$7+1,
   NA(),
   IF(OR(C$7="",C$8="",C$7=C$8),
      NA(),
      (INDIRECT(ADDRESS(C$7+ROWS(A$18:$B148)-1,COLUMN(INDIRECT(C$9&amp;1)),,,C$6))-C$10)/(C$11-C$10)*(C$13-C$12))*IF(C$14&lt;&gt;"",C$14,1))</f>
        <v>#N/A</v>
      </c>
      <c r="D148" s="4" t="e" cm="1">
        <f t="array" aca="1" ref="D148" ca="1">IF(ROWS(B$18:B148)&gt;D$8-D$7+1,
   NA(),
   IF(OR(D$7="",D$8="",D$7=D$8),
      NA(),
      (INDIRECT(ADDRESS(D$7+ROWS($B$18:B148)-1,COLUMN(INDIRECT(D$9&amp;1)),,,D$6))-D$10)/(D$11-D$10)*(D$13-D$12))*IF(D$14&lt;&gt;"",D$14,1))</f>
        <v>#N/A</v>
      </c>
      <c r="E148" s="4" t="e" cm="1">
        <f t="array" aca="1" ref="E148" ca="1">IF(ROWS(C$18:C148)&gt;E$8-E$7+1,
   NA(),
   IF(OR(E$7="",E$8="",E$7=E$8),
      NA(),
      (INDIRECT(ADDRESS(E$7+ROWS($B$18:C148)-1,COLUMN(INDIRECT(E$9&amp;1)),,,E$6))-E$10)/(E$11-E$10)*(E$13-E$12))*IF(E$14&lt;&gt;"",E$14,1))</f>
        <v>#N/A</v>
      </c>
      <c r="F148" s="4" t="e" cm="1">
        <f t="array" aca="1" ref="F148" ca="1">IF(ROWS(D$18:D148)&gt;F$8-F$7+1,
   NA(),
   IF(OR(F$7="",F$8="",F$7=F$8),
      NA(),
      (INDIRECT(ADDRESS(F$7+ROWS($B$18:D148)-1,COLUMN(INDIRECT(F$9&amp;1)),,,F$6))-F$10)/(F$11-F$10)*(F$13-F$12))*IF(F$14&lt;&gt;"",F$14,1))</f>
        <v>#N/A</v>
      </c>
      <c r="I148" s="3" t="e" cm="1">
        <f t="array" aca="1" ref="I148" ca="1">IF(ROWS(G$18:G148)&gt;I$8-I$7+1,
   NA(),
   IF(OR(I$7="",I$8="",I$7=I$8),
      NA(),
      (INDIRECT(ADDRESS(I$7+ROWS($B$18:G148)-1,COLUMN(INDIRECT(I$9&amp;1)),,,I$6))-I$10)/(I$11-I$10)*(I$13-I$12))*IF(I$14&lt;&gt;"",I$14,1))</f>
        <v>#N/A</v>
      </c>
      <c r="J148" s="4" t="e" cm="1">
        <f t="array" aca="1" ref="J148" ca="1">IF(ROWS(H$18:H148)&gt;J$8-J$7+1,
   NA(),
   IF(OR(J$7="",J$8="",J$7=J$8),
      NA(),
      (INDIRECT(ADDRESS(J$7+ROWS($B$18:H148)-1,COLUMN(INDIRECT(J$9&amp;1)),,,J$6))-J$10)/(J$11-J$10)*(J$13-J$12))*IF(J$14&lt;&gt;"",J$14,1))</f>
        <v>#N/A</v>
      </c>
      <c r="K148" s="4" t="e" cm="1">
        <f t="array" aca="1" ref="K148" ca="1">IF(ROWS(I$18:I148)&gt;K$8-K$7+1,
   NA(),
   IF(OR(K$7="",K$8="",K$7=K$8),
      NA(),
      (INDIRECT(ADDRESS(K$7+ROWS($B$18:I148)-1,COLUMN(INDIRECT(K$9&amp;1)),,,K$6))-K$10)/(K$11-K$10)*(K$13-K$12))*IF(K$14&lt;&gt;"",K$14,1))</f>
        <v>#N/A</v>
      </c>
      <c r="L148" s="4" t="e" cm="1">
        <f t="array" aca="1" ref="L148" ca="1">IF(ROWS(J$18:J148)&gt;L$8-L$7+1,
   NA(),
   IF(OR(L$7="",L$8="",L$7=L$8),
      NA(),
      (INDIRECT(ADDRESS(L$7+ROWS($B$18:J148)-1,COLUMN(INDIRECT(L$9&amp;1)),,,L$6))-L$10)/(L$11-L$10)*(L$13-L$12))*IF(L$14&lt;&gt;"",L$14,1))</f>
        <v>#N/A</v>
      </c>
    </row>
    <row r="149" spans="3:12" x14ac:dyDescent="0.2">
      <c r="C149" s="3" t="e" cm="1">
        <f t="array" aca="1" ref="C149" ca="1">IF(ROWS(A$18:A149)&gt;C$8-C$7+1,
   NA(),
   IF(OR(C$7="",C$8="",C$7=C$8),
      NA(),
      (INDIRECT(ADDRESS(C$7+ROWS(A$18:$B149)-1,COLUMN(INDIRECT(C$9&amp;1)),,,C$6))-C$10)/(C$11-C$10)*(C$13-C$12))*IF(C$14&lt;&gt;"",C$14,1))</f>
        <v>#N/A</v>
      </c>
      <c r="D149" s="4" t="e" cm="1">
        <f t="array" aca="1" ref="D149" ca="1">IF(ROWS(B$18:B149)&gt;D$8-D$7+1,
   NA(),
   IF(OR(D$7="",D$8="",D$7=D$8),
      NA(),
      (INDIRECT(ADDRESS(D$7+ROWS($B$18:B149)-1,COLUMN(INDIRECT(D$9&amp;1)),,,D$6))-D$10)/(D$11-D$10)*(D$13-D$12))*IF(D$14&lt;&gt;"",D$14,1))</f>
        <v>#N/A</v>
      </c>
      <c r="E149" s="4" t="e" cm="1">
        <f t="array" aca="1" ref="E149" ca="1">IF(ROWS(C$18:C149)&gt;E$8-E$7+1,
   NA(),
   IF(OR(E$7="",E$8="",E$7=E$8),
      NA(),
      (INDIRECT(ADDRESS(E$7+ROWS($B$18:C149)-1,COLUMN(INDIRECT(E$9&amp;1)),,,E$6))-E$10)/(E$11-E$10)*(E$13-E$12))*IF(E$14&lt;&gt;"",E$14,1))</f>
        <v>#N/A</v>
      </c>
      <c r="F149" s="4" t="e" cm="1">
        <f t="array" aca="1" ref="F149" ca="1">IF(ROWS(D$18:D149)&gt;F$8-F$7+1,
   NA(),
   IF(OR(F$7="",F$8="",F$7=F$8),
      NA(),
      (INDIRECT(ADDRESS(F$7+ROWS($B$18:D149)-1,COLUMN(INDIRECT(F$9&amp;1)),,,F$6))-F$10)/(F$11-F$10)*(F$13-F$12))*IF(F$14&lt;&gt;"",F$14,1))</f>
        <v>#N/A</v>
      </c>
      <c r="I149" s="3" t="e" cm="1">
        <f t="array" aca="1" ref="I149" ca="1">IF(ROWS(G$18:G149)&gt;I$8-I$7+1,
   NA(),
   IF(OR(I$7="",I$8="",I$7=I$8),
      NA(),
      (INDIRECT(ADDRESS(I$7+ROWS($B$18:G149)-1,COLUMN(INDIRECT(I$9&amp;1)),,,I$6))-I$10)/(I$11-I$10)*(I$13-I$12))*IF(I$14&lt;&gt;"",I$14,1))</f>
        <v>#N/A</v>
      </c>
      <c r="J149" s="4" t="e" cm="1">
        <f t="array" aca="1" ref="J149" ca="1">IF(ROWS(H$18:H149)&gt;J$8-J$7+1,
   NA(),
   IF(OR(J$7="",J$8="",J$7=J$8),
      NA(),
      (INDIRECT(ADDRESS(J$7+ROWS($B$18:H149)-1,COLUMN(INDIRECT(J$9&amp;1)),,,J$6))-J$10)/(J$11-J$10)*(J$13-J$12))*IF(J$14&lt;&gt;"",J$14,1))</f>
        <v>#N/A</v>
      </c>
      <c r="K149" s="4" t="e" cm="1">
        <f t="array" aca="1" ref="K149" ca="1">IF(ROWS(I$18:I149)&gt;K$8-K$7+1,
   NA(),
   IF(OR(K$7="",K$8="",K$7=K$8),
      NA(),
      (INDIRECT(ADDRESS(K$7+ROWS($B$18:I149)-1,COLUMN(INDIRECT(K$9&amp;1)),,,K$6))-K$10)/(K$11-K$10)*(K$13-K$12))*IF(K$14&lt;&gt;"",K$14,1))</f>
        <v>#N/A</v>
      </c>
      <c r="L149" s="4" t="e" cm="1">
        <f t="array" aca="1" ref="L149" ca="1">IF(ROWS(J$18:J149)&gt;L$8-L$7+1,
   NA(),
   IF(OR(L$7="",L$8="",L$7=L$8),
      NA(),
      (INDIRECT(ADDRESS(L$7+ROWS($B$18:J149)-1,COLUMN(INDIRECT(L$9&amp;1)),,,L$6))-L$10)/(L$11-L$10)*(L$13-L$12))*IF(L$14&lt;&gt;"",L$14,1))</f>
        <v>#N/A</v>
      </c>
    </row>
    <row r="150" spans="3:12" x14ac:dyDescent="0.2">
      <c r="C150" s="3" t="e" cm="1">
        <f t="array" aca="1" ref="C150" ca="1">IF(ROWS(A$18:A150)&gt;C$8-C$7+1,
   NA(),
   IF(OR(C$7="",C$8="",C$7=C$8),
      NA(),
      (INDIRECT(ADDRESS(C$7+ROWS(A$18:$B150)-1,COLUMN(INDIRECT(C$9&amp;1)),,,C$6))-C$10)/(C$11-C$10)*(C$13-C$12))*IF(C$14&lt;&gt;"",C$14,1))</f>
        <v>#N/A</v>
      </c>
      <c r="D150" s="4" t="e" cm="1">
        <f t="array" aca="1" ref="D150" ca="1">IF(ROWS(B$18:B150)&gt;D$8-D$7+1,
   NA(),
   IF(OR(D$7="",D$8="",D$7=D$8),
      NA(),
      (INDIRECT(ADDRESS(D$7+ROWS($B$18:B150)-1,COLUMN(INDIRECT(D$9&amp;1)),,,D$6))-D$10)/(D$11-D$10)*(D$13-D$12))*IF(D$14&lt;&gt;"",D$14,1))</f>
        <v>#N/A</v>
      </c>
      <c r="E150" s="4" t="e" cm="1">
        <f t="array" aca="1" ref="E150" ca="1">IF(ROWS(C$18:C150)&gt;E$8-E$7+1,
   NA(),
   IF(OR(E$7="",E$8="",E$7=E$8),
      NA(),
      (INDIRECT(ADDRESS(E$7+ROWS($B$18:C150)-1,COLUMN(INDIRECT(E$9&amp;1)),,,E$6))-E$10)/(E$11-E$10)*(E$13-E$12))*IF(E$14&lt;&gt;"",E$14,1))</f>
        <v>#N/A</v>
      </c>
      <c r="F150" s="4" t="e" cm="1">
        <f t="array" aca="1" ref="F150" ca="1">IF(ROWS(D$18:D150)&gt;F$8-F$7+1,
   NA(),
   IF(OR(F$7="",F$8="",F$7=F$8),
      NA(),
      (INDIRECT(ADDRESS(F$7+ROWS($B$18:D150)-1,COLUMN(INDIRECT(F$9&amp;1)),,,F$6))-F$10)/(F$11-F$10)*(F$13-F$12))*IF(F$14&lt;&gt;"",F$14,1))</f>
        <v>#N/A</v>
      </c>
      <c r="I150" s="3" t="e" cm="1">
        <f t="array" aca="1" ref="I150" ca="1">IF(ROWS(G$18:G150)&gt;I$8-I$7+1,
   NA(),
   IF(OR(I$7="",I$8="",I$7=I$8),
      NA(),
      (INDIRECT(ADDRESS(I$7+ROWS($B$18:G150)-1,COLUMN(INDIRECT(I$9&amp;1)),,,I$6))-I$10)/(I$11-I$10)*(I$13-I$12))*IF(I$14&lt;&gt;"",I$14,1))</f>
        <v>#N/A</v>
      </c>
      <c r="J150" s="4" t="e" cm="1">
        <f t="array" aca="1" ref="J150" ca="1">IF(ROWS(H$18:H150)&gt;J$8-J$7+1,
   NA(),
   IF(OR(J$7="",J$8="",J$7=J$8),
      NA(),
      (INDIRECT(ADDRESS(J$7+ROWS($B$18:H150)-1,COLUMN(INDIRECT(J$9&amp;1)),,,J$6))-J$10)/(J$11-J$10)*(J$13-J$12))*IF(J$14&lt;&gt;"",J$14,1))</f>
        <v>#N/A</v>
      </c>
      <c r="K150" s="4" t="e" cm="1">
        <f t="array" aca="1" ref="K150" ca="1">IF(ROWS(I$18:I150)&gt;K$8-K$7+1,
   NA(),
   IF(OR(K$7="",K$8="",K$7=K$8),
      NA(),
      (INDIRECT(ADDRESS(K$7+ROWS($B$18:I150)-1,COLUMN(INDIRECT(K$9&amp;1)),,,K$6))-K$10)/(K$11-K$10)*(K$13-K$12))*IF(K$14&lt;&gt;"",K$14,1))</f>
        <v>#N/A</v>
      </c>
      <c r="L150" s="4" t="e" cm="1">
        <f t="array" aca="1" ref="L150" ca="1">IF(ROWS(J$18:J150)&gt;L$8-L$7+1,
   NA(),
   IF(OR(L$7="",L$8="",L$7=L$8),
      NA(),
      (INDIRECT(ADDRESS(L$7+ROWS($B$18:J150)-1,COLUMN(INDIRECT(L$9&amp;1)),,,L$6))-L$10)/(L$11-L$10)*(L$13-L$12))*IF(L$14&lt;&gt;"",L$14,1))</f>
        <v>#N/A</v>
      </c>
    </row>
    <row r="151" spans="3:12" x14ac:dyDescent="0.2">
      <c r="C151" s="3" t="e" cm="1">
        <f t="array" aca="1" ref="C151" ca="1">IF(ROWS(A$18:A151)&gt;C$8-C$7+1,
   NA(),
   IF(OR(C$7="",C$8="",C$7=C$8),
      NA(),
      (INDIRECT(ADDRESS(C$7+ROWS(A$18:$B151)-1,COLUMN(INDIRECT(C$9&amp;1)),,,C$6))-C$10)/(C$11-C$10)*(C$13-C$12))*IF(C$14&lt;&gt;"",C$14,1))</f>
        <v>#N/A</v>
      </c>
      <c r="D151" s="4" t="e" cm="1">
        <f t="array" aca="1" ref="D151" ca="1">IF(ROWS(B$18:B151)&gt;D$8-D$7+1,
   NA(),
   IF(OR(D$7="",D$8="",D$7=D$8),
      NA(),
      (INDIRECT(ADDRESS(D$7+ROWS($B$18:B151)-1,COLUMN(INDIRECT(D$9&amp;1)),,,D$6))-D$10)/(D$11-D$10)*(D$13-D$12))*IF(D$14&lt;&gt;"",D$14,1))</f>
        <v>#N/A</v>
      </c>
      <c r="E151" s="4" t="e" cm="1">
        <f t="array" aca="1" ref="E151" ca="1">IF(ROWS(C$18:C151)&gt;E$8-E$7+1,
   NA(),
   IF(OR(E$7="",E$8="",E$7=E$8),
      NA(),
      (INDIRECT(ADDRESS(E$7+ROWS($B$18:C151)-1,COLUMN(INDIRECT(E$9&amp;1)),,,E$6))-E$10)/(E$11-E$10)*(E$13-E$12))*IF(E$14&lt;&gt;"",E$14,1))</f>
        <v>#N/A</v>
      </c>
      <c r="F151" s="4" t="e" cm="1">
        <f t="array" aca="1" ref="F151" ca="1">IF(ROWS(D$18:D151)&gt;F$8-F$7+1,
   NA(),
   IF(OR(F$7="",F$8="",F$7=F$8),
      NA(),
      (INDIRECT(ADDRESS(F$7+ROWS($B$18:D151)-1,COLUMN(INDIRECT(F$9&amp;1)),,,F$6))-F$10)/(F$11-F$10)*(F$13-F$12))*IF(F$14&lt;&gt;"",F$14,1))</f>
        <v>#N/A</v>
      </c>
      <c r="I151" s="3" t="e" cm="1">
        <f t="array" aca="1" ref="I151" ca="1">IF(ROWS(G$18:G151)&gt;I$8-I$7+1,
   NA(),
   IF(OR(I$7="",I$8="",I$7=I$8),
      NA(),
      (INDIRECT(ADDRESS(I$7+ROWS($B$18:G151)-1,COLUMN(INDIRECT(I$9&amp;1)),,,I$6))-I$10)/(I$11-I$10)*(I$13-I$12))*IF(I$14&lt;&gt;"",I$14,1))</f>
        <v>#N/A</v>
      </c>
      <c r="J151" s="4" t="e" cm="1">
        <f t="array" aca="1" ref="J151" ca="1">IF(ROWS(H$18:H151)&gt;J$8-J$7+1,
   NA(),
   IF(OR(J$7="",J$8="",J$7=J$8),
      NA(),
      (INDIRECT(ADDRESS(J$7+ROWS($B$18:H151)-1,COLUMN(INDIRECT(J$9&amp;1)),,,J$6))-J$10)/(J$11-J$10)*(J$13-J$12))*IF(J$14&lt;&gt;"",J$14,1))</f>
        <v>#N/A</v>
      </c>
      <c r="K151" s="4" t="e" cm="1">
        <f t="array" aca="1" ref="K151" ca="1">IF(ROWS(I$18:I151)&gt;K$8-K$7+1,
   NA(),
   IF(OR(K$7="",K$8="",K$7=K$8),
      NA(),
      (INDIRECT(ADDRESS(K$7+ROWS($B$18:I151)-1,COLUMN(INDIRECT(K$9&amp;1)),,,K$6))-K$10)/(K$11-K$10)*(K$13-K$12))*IF(K$14&lt;&gt;"",K$14,1))</f>
        <v>#N/A</v>
      </c>
      <c r="L151" s="4" t="e" cm="1">
        <f t="array" aca="1" ref="L151" ca="1">IF(ROWS(J$18:J151)&gt;L$8-L$7+1,
   NA(),
   IF(OR(L$7="",L$8="",L$7=L$8),
      NA(),
      (INDIRECT(ADDRESS(L$7+ROWS($B$18:J151)-1,COLUMN(INDIRECT(L$9&amp;1)),,,L$6))-L$10)/(L$11-L$10)*(L$13-L$12))*IF(L$14&lt;&gt;"",L$14,1))</f>
        <v>#N/A</v>
      </c>
    </row>
    <row r="152" spans="3:12" x14ac:dyDescent="0.2">
      <c r="C152" s="3" t="e" cm="1">
        <f t="array" aca="1" ref="C152" ca="1">IF(ROWS(A$18:A152)&gt;C$8-C$7+1,
   NA(),
   IF(OR(C$7="",C$8="",C$7=C$8),
      NA(),
      (INDIRECT(ADDRESS(C$7+ROWS(A$18:$B152)-1,COLUMN(INDIRECT(C$9&amp;1)),,,C$6))-C$10)/(C$11-C$10)*(C$13-C$12))*IF(C$14&lt;&gt;"",C$14,1))</f>
        <v>#N/A</v>
      </c>
      <c r="D152" s="4" t="e" cm="1">
        <f t="array" aca="1" ref="D152" ca="1">IF(ROWS(B$18:B152)&gt;D$8-D$7+1,
   NA(),
   IF(OR(D$7="",D$8="",D$7=D$8),
      NA(),
      (INDIRECT(ADDRESS(D$7+ROWS($B$18:B152)-1,COLUMN(INDIRECT(D$9&amp;1)),,,D$6))-D$10)/(D$11-D$10)*(D$13-D$12))*IF(D$14&lt;&gt;"",D$14,1))</f>
        <v>#N/A</v>
      </c>
      <c r="E152" s="4" t="e" cm="1">
        <f t="array" aca="1" ref="E152" ca="1">IF(ROWS(C$18:C152)&gt;E$8-E$7+1,
   NA(),
   IF(OR(E$7="",E$8="",E$7=E$8),
      NA(),
      (INDIRECT(ADDRESS(E$7+ROWS($B$18:C152)-1,COLUMN(INDIRECT(E$9&amp;1)),,,E$6))-E$10)/(E$11-E$10)*(E$13-E$12))*IF(E$14&lt;&gt;"",E$14,1))</f>
        <v>#N/A</v>
      </c>
      <c r="F152" s="4" t="e" cm="1">
        <f t="array" aca="1" ref="F152" ca="1">IF(ROWS(D$18:D152)&gt;F$8-F$7+1,
   NA(),
   IF(OR(F$7="",F$8="",F$7=F$8),
      NA(),
      (INDIRECT(ADDRESS(F$7+ROWS($B$18:D152)-1,COLUMN(INDIRECT(F$9&amp;1)),,,F$6))-F$10)/(F$11-F$10)*(F$13-F$12))*IF(F$14&lt;&gt;"",F$14,1))</f>
        <v>#N/A</v>
      </c>
      <c r="I152" s="3" t="e" cm="1">
        <f t="array" aca="1" ref="I152" ca="1">IF(ROWS(G$18:G152)&gt;I$8-I$7+1,
   NA(),
   IF(OR(I$7="",I$8="",I$7=I$8),
      NA(),
      (INDIRECT(ADDRESS(I$7+ROWS($B$18:G152)-1,COLUMN(INDIRECT(I$9&amp;1)),,,I$6))-I$10)/(I$11-I$10)*(I$13-I$12))*IF(I$14&lt;&gt;"",I$14,1))</f>
        <v>#N/A</v>
      </c>
      <c r="J152" s="4" t="e" cm="1">
        <f t="array" aca="1" ref="J152" ca="1">IF(ROWS(H$18:H152)&gt;J$8-J$7+1,
   NA(),
   IF(OR(J$7="",J$8="",J$7=J$8),
      NA(),
      (INDIRECT(ADDRESS(J$7+ROWS($B$18:H152)-1,COLUMN(INDIRECT(J$9&amp;1)),,,J$6))-J$10)/(J$11-J$10)*(J$13-J$12))*IF(J$14&lt;&gt;"",J$14,1))</f>
        <v>#N/A</v>
      </c>
      <c r="K152" s="4" t="e" cm="1">
        <f t="array" aca="1" ref="K152" ca="1">IF(ROWS(I$18:I152)&gt;K$8-K$7+1,
   NA(),
   IF(OR(K$7="",K$8="",K$7=K$8),
      NA(),
      (INDIRECT(ADDRESS(K$7+ROWS($B$18:I152)-1,COLUMN(INDIRECT(K$9&amp;1)),,,K$6))-K$10)/(K$11-K$10)*(K$13-K$12))*IF(K$14&lt;&gt;"",K$14,1))</f>
        <v>#N/A</v>
      </c>
      <c r="L152" s="4" t="e" cm="1">
        <f t="array" aca="1" ref="L152" ca="1">IF(ROWS(J$18:J152)&gt;L$8-L$7+1,
   NA(),
   IF(OR(L$7="",L$8="",L$7=L$8),
      NA(),
      (INDIRECT(ADDRESS(L$7+ROWS($B$18:J152)-1,COLUMN(INDIRECT(L$9&amp;1)),,,L$6))-L$10)/(L$11-L$10)*(L$13-L$12))*IF(L$14&lt;&gt;"",L$14,1))</f>
        <v>#N/A</v>
      </c>
    </row>
    <row r="153" spans="3:12" x14ac:dyDescent="0.2">
      <c r="C153" s="3" t="e" cm="1">
        <f t="array" aca="1" ref="C153" ca="1">IF(ROWS(A$18:A153)&gt;C$8-C$7+1,
   NA(),
   IF(OR(C$7="",C$8="",C$7=C$8),
      NA(),
      (INDIRECT(ADDRESS(C$7+ROWS(A$18:$B153)-1,COLUMN(INDIRECT(C$9&amp;1)),,,C$6))-C$10)/(C$11-C$10)*(C$13-C$12))*IF(C$14&lt;&gt;"",C$14,1))</f>
        <v>#N/A</v>
      </c>
      <c r="D153" s="4" t="e" cm="1">
        <f t="array" aca="1" ref="D153" ca="1">IF(ROWS(B$18:B153)&gt;D$8-D$7+1,
   NA(),
   IF(OR(D$7="",D$8="",D$7=D$8),
      NA(),
      (INDIRECT(ADDRESS(D$7+ROWS($B$18:B153)-1,COLUMN(INDIRECT(D$9&amp;1)),,,D$6))-D$10)/(D$11-D$10)*(D$13-D$12))*IF(D$14&lt;&gt;"",D$14,1))</f>
        <v>#N/A</v>
      </c>
      <c r="E153" s="4" t="e" cm="1">
        <f t="array" aca="1" ref="E153" ca="1">IF(ROWS(C$18:C153)&gt;E$8-E$7+1,
   NA(),
   IF(OR(E$7="",E$8="",E$7=E$8),
      NA(),
      (INDIRECT(ADDRESS(E$7+ROWS($B$18:C153)-1,COLUMN(INDIRECT(E$9&amp;1)),,,E$6))-E$10)/(E$11-E$10)*(E$13-E$12))*IF(E$14&lt;&gt;"",E$14,1))</f>
        <v>#N/A</v>
      </c>
      <c r="F153" s="4" t="e" cm="1">
        <f t="array" aca="1" ref="F153" ca="1">IF(ROWS(D$18:D153)&gt;F$8-F$7+1,
   NA(),
   IF(OR(F$7="",F$8="",F$7=F$8),
      NA(),
      (INDIRECT(ADDRESS(F$7+ROWS($B$18:D153)-1,COLUMN(INDIRECT(F$9&amp;1)),,,F$6))-F$10)/(F$11-F$10)*(F$13-F$12))*IF(F$14&lt;&gt;"",F$14,1))</f>
        <v>#N/A</v>
      </c>
      <c r="I153" s="3" t="e" cm="1">
        <f t="array" aca="1" ref="I153" ca="1">IF(ROWS(G$18:G153)&gt;I$8-I$7+1,
   NA(),
   IF(OR(I$7="",I$8="",I$7=I$8),
      NA(),
      (INDIRECT(ADDRESS(I$7+ROWS($B$18:G153)-1,COLUMN(INDIRECT(I$9&amp;1)),,,I$6))-I$10)/(I$11-I$10)*(I$13-I$12))*IF(I$14&lt;&gt;"",I$14,1))</f>
        <v>#N/A</v>
      </c>
      <c r="J153" s="4" t="e" cm="1">
        <f t="array" aca="1" ref="J153" ca="1">IF(ROWS(H$18:H153)&gt;J$8-J$7+1,
   NA(),
   IF(OR(J$7="",J$8="",J$7=J$8),
      NA(),
      (INDIRECT(ADDRESS(J$7+ROWS($B$18:H153)-1,COLUMN(INDIRECT(J$9&amp;1)),,,J$6))-J$10)/(J$11-J$10)*(J$13-J$12))*IF(J$14&lt;&gt;"",J$14,1))</f>
        <v>#N/A</v>
      </c>
      <c r="K153" s="4" t="e" cm="1">
        <f t="array" aca="1" ref="K153" ca="1">IF(ROWS(I$18:I153)&gt;K$8-K$7+1,
   NA(),
   IF(OR(K$7="",K$8="",K$7=K$8),
      NA(),
      (INDIRECT(ADDRESS(K$7+ROWS($B$18:I153)-1,COLUMN(INDIRECT(K$9&amp;1)),,,K$6))-K$10)/(K$11-K$10)*(K$13-K$12))*IF(K$14&lt;&gt;"",K$14,1))</f>
        <v>#N/A</v>
      </c>
      <c r="L153" s="4" t="e" cm="1">
        <f t="array" aca="1" ref="L153" ca="1">IF(ROWS(J$18:J153)&gt;L$8-L$7+1,
   NA(),
   IF(OR(L$7="",L$8="",L$7=L$8),
      NA(),
      (INDIRECT(ADDRESS(L$7+ROWS($B$18:J153)-1,COLUMN(INDIRECT(L$9&amp;1)),,,L$6))-L$10)/(L$11-L$10)*(L$13-L$12))*IF(L$14&lt;&gt;"",L$14,1))</f>
        <v>#N/A</v>
      </c>
    </row>
    <row r="154" spans="3:12" x14ac:dyDescent="0.2">
      <c r="C154" s="3" t="e" cm="1">
        <f t="array" aca="1" ref="C154" ca="1">IF(ROWS(A$18:A154)&gt;C$8-C$7+1,
   NA(),
   IF(OR(C$7="",C$8="",C$7=C$8),
      NA(),
      (INDIRECT(ADDRESS(C$7+ROWS(A$18:$B154)-1,COLUMN(INDIRECT(C$9&amp;1)),,,C$6))-C$10)/(C$11-C$10)*(C$13-C$12))*IF(C$14&lt;&gt;"",C$14,1))</f>
        <v>#N/A</v>
      </c>
      <c r="D154" s="4" t="e" cm="1">
        <f t="array" aca="1" ref="D154" ca="1">IF(ROWS(B$18:B154)&gt;D$8-D$7+1,
   NA(),
   IF(OR(D$7="",D$8="",D$7=D$8),
      NA(),
      (INDIRECT(ADDRESS(D$7+ROWS($B$18:B154)-1,COLUMN(INDIRECT(D$9&amp;1)),,,D$6))-D$10)/(D$11-D$10)*(D$13-D$12))*IF(D$14&lt;&gt;"",D$14,1))</f>
        <v>#N/A</v>
      </c>
      <c r="E154" s="4" t="e" cm="1">
        <f t="array" aca="1" ref="E154" ca="1">IF(ROWS(C$18:C154)&gt;E$8-E$7+1,
   NA(),
   IF(OR(E$7="",E$8="",E$7=E$8),
      NA(),
      (INDIRECT(ADDRESS(E$7+ROWS($B$18:C154)-1,COLUMN(INDIRECT(E$9&amp;1)),,,E$6))-E$10)/(E$11-E$10)*(E$13-E$12))*IF(E$14&lt;&gt;"",E$14,1))</f>
        <v>#N/A</v>
      </c>
      <c r="F154" s="4" t="e" cm="1">
        <f t="array" aca="1" ref="F154" ca="1">IF(ROWS(D$18:D154)&gt;F$8-F$7+1,
   NA(),
   IF(OR(F$7="",F$8="",F$7=F$8),
      NA(),
      (INDIRECT(ADDRESS(F$7+ROWS($B$18:D154)-1,COLUMN(INDIRECT(F$9&amp;1)),,,F$6))-F$10)/(F$11-F$10)*(F$13-F$12))*IF(F$14&lt;&gt;"",F$14,1))</f>
        <v>#N/A</v>
      </c>
      <c r="I154" s="3" t="e" cm="1">
        <f t="array" aca="1" ref="I154" ca="1">IF(ROWS(G$18:G154)&gt;I$8-I$7+1,
   NA(),
   IF(OR(I$7="",I$8="",I$7=I$8),
      NA(),
      (INDIRECT(ADDRESS(I$7+ROWS($B$18:G154)-1,COLUMN(INDIRECT(I$9&amp;1)),,,I$6))-I$10)/(I$11-I$10)*(I$13-I$12))*IF(I$14&lt;&gt;"",I$14,1))</f>
        <v>#N/A</v>
      </c>
      <c r="J154" s="4" t="e" cm="1">
        <f t="array" aca="1" ref="J154" ca="1">IF(ROWS(H$18:H154)&gt;J$8-J$7+1,
   NA(),
   IF(OR(J$7="",J$8="",J$7=J$8),
      NA(),
      (INDIRECT(ADDRESS(J$7+ROWS($B$18:H154)-1,COLUMN(INDIRECT(J$9&amp;1)),,,J$6))-J$10)/(J$11-J$10)*(J$13-J$12))*IF(J$14&lt;&gt;"",J$14,1))</f>
        <v>#N/A</v>
      </c>
      <c r="K154" s="4" t="e" cm="1">
        <f t="array" aca="1" ref="K154" ca="1">IF(ROWS(I$18:I154)&gt;K$8-K$7+1,
   NA(),
   IF(OR(K$7="",K$8="",K$7=K$8),
      NA(),
      (INDIRECT(ADDRESS(K$7+ROWS($B$18:I154)-1,COLUMN(INDIRECT(K$9&amp;1)),,,K$6))-K$10)/(K$11-K$10)*(K$13-K$12))*IF(K$14&lt;&gt;"",K$14,1))</f>
        <v>#N/A</v>
      </c>
      <c r="L154" s="4" t="e" cm="1">
        <f t="array" aca="1" ref="L154" ca="1">IF(ROWS(J$18:J154)&gt;L$8-L$7+1,
   NA(),
   IF(OR(L$7="",L$8="",L$7=L$8),
      NA(),
      (INDIRECT(ADDRESS(L$7+ROWS($B$18:J154)-1,COLUMN(INDIRECT(L$9&amp;1)),,,L$6))-L$10)/(L$11-L$10)*(L$13-L$12))*IF(L$14&lt;&gt;"",L$14,1))</f>
        <v>#N/A</v>
      </c>
    </row>
    <row r="155" spans="3:12" x14ac:dyDescent="0.2">
      <c r="C155" s="3" t="e" cm="1">
        <f t="array" aca="1" ref="C155" ca="1">IF(ROWS(A$18:A155)&gt;C$8-C$7+1,
   NA(),
   IF(OR(C$7="",C$8="",C$7=C$8),
      NA(),
      (INDIRECT(ADDRESS(C$7+ROWS(A$18:$B155)-1,COLUMN(INDIRECT(C$9&amp;1)),,,C$6))-C$10)/(C$11-C$10)*(C$13-C$12))*IF(C$14&lt;&gt;"",C$14,1))</f>
        <v>#N/A</v>
      </c>
      <c r="D155" s="4" t="e" cm="1">
        <f t="array" aca="1" ref="D155" ca="1">IF(ROWS(B$18:B155)&gt;D$8-D$7+1,
   NA(),
   IF(OR(D$7="",D$8="",D$7=D$8),
      NA(),
      (INDIRECT(ADDRESS(D$7+ROWS($B$18:B155)-1,COLUMN(INDIRECT(D$9&amp;1)),,,D$6))-D$10)/(D$11-D$10)*(D$13-D$12))*IF(D$14&lt;&gt;"",D$14,1))</f>
        <v>#N/A</v>
      </c>
      <c r="E155" s="4" t="e" cm="1">
        <f t="array" aca="1" ref="E155" ca="1">IF(ROWS(C$18:C155)&gt;E$8-E$7+1,
   NA(),
   IF(OR(E$7="",E$8="",E$7=E$8),
      NA(),
      (INDIRECT(ADDRESS(E$7+ROWS($B$18:C155)-1,COLUMN(INDIRECT(E$9&amp;1)),,,E$6))-E$10)/(E$11-E$10)*(E$13-E$12))*IF(E$14&lt;&gt;"",E$14,1))</f>
        <v>#N/A</v>
      </c>
      <c r="F155" s="4" t="e" cm="1">
        <f t="array" aca="1" ref="F155" ca="1">IF(ROWS(D$18:D155)&gt;F$8-F$7+1,
   NA(),
   IF(OR(F$7="",F$8="",F$7=F$8),
      NA(),
      (INDIRECT(ADDRESS(F$7+ROWS($B$18:D155)-1,COLUMN(INDIRECT(F$9&amp;1)),,,F$6))-F$10)/(F$11-F$10)*(F$13-F$12))*IF(F$14&lt;&gt;"",F$14,1))</f>
        <v>#N/A</v>
      </c>
      <c r="I155" s="3" t="e" cm="1">
        <f t="array" aca="1" ref="I155" ca="1">IF(ROWS(G$18:G155)&gt;I$8-I$7+1,
   NA(),
   IF(OR(I$7="",I$8="",I$7=I$8),
      NA(),
      (INDIRECT(ADDRESS(I$7+ROWS($B$18:G155)-1,COLUMN(INDIRECT(I$9&amp;1)),,,I$6))-I$10)/(I$11-I$10)*(I$13-I$12))*IF(I$14&lt;&gt;"",I$14,1))</f>
        <v>#N/A</v>
      </c>
      <c r="J155" s="4" t="e" cm="1">
        <f t="array" aca="1" ref="J155" ca="1">IF(ROWS(H$18:H155)&gt;J$8-J$7+1,
   NA(),
   IF(OR(J$7="",J$8="",J$7=J$8),
      NA(),
      (INDIRECT(ADDRESS(J$7+ROWS($B$18:H155)-1,COLUMN(INDIRECT(J$9&amp;1)),,,J$6))-J$10)/(J$11-J$10)*(J$13-J$12))*IF(J$14&lt;&gt;"",J$14,1))</f>
        <v>#N/A</v>
      </c>
      <c r="K155" s="4" t="e" cm="1">
        <f t="array" aca="1" ref="K155" ca="1">IF(ROWS(I$18:I155)&gt;K$8-K$7+1,
   NA(),
   IF(OR(K$7="",K$8="",K$7=K$8),
      NA(),
      (INDIRECT(ADDRESS(K$7+ROWS($B$18:I155)-1,COLUMN(INDIRECT(K$9&amp;1)),,,K$6))-K$10)/(K$11-K$10)*(K$13-K$12))*IF(K$14&lt;&gt;"",K$14,1))</f>
        <v>#N/A</v>
      </c>
      <c r="L155" s="4" t="e" cm="1">
        <f t="array" aca="1" ref="L155" ca="1">IF(ROWS(J$18:J155)&gt;L$8-L$7+1,
   NA(),
   IF(OR(L$7="",L$8="",L$7=L$8),
      NA(),
      (INDIRECT(ADDRESS(L$7+ROWS($B$18:J155)-1,COLUMN(INDIRECT(L$9&amp;1)),,,L$6))-L$10)/(L$11-L$10)*(L$13-L$12))*IF(L$14&lt;&gt;"",L$14,1))</f>
        <v>#N/A</v>
      </c>
    </row>
    <row r="156" spans="3:12" x14ac:dyDescent="0.2">
      <c r="C156" s="3" t="e" cm="1">
        <f t="array" aca="1" ref="C156" ca="1">IF(ROWS(A$18:A156)&gt;C$8-C$7+1,
   NA(),
   IF(OR(C$7="",C$8="",C$7=C$8),
      NA(),
      (INDIRECT(ADDRESS(C$7+ROWS(A$18:$B156)-1,COLUMN(INDIRECT(C$9&amp;1)),,,C$6))-C$10)/(C$11-C$10)*(C$13-C$12))*IF(C$14&lt;&gt;"",C$14,1))</f>
        <v>#N/A</v>
      </c>
      <c r="D156" s="4" t="e" cm="1">
        <f t="array" aca="1" ref="D156" ca="1">IF(ROWS(B$18:B156)&gt;D$8-D$7+1,
   NA(),
   IF(OR(D$7="",D$8="",D$7=D$8),
      NA(),
      (INDIRECT(ADDRESS(D$7+ROWS($B$18:B156)-1,COLUMN(INDIRECT(D$9&amp;1)),,,D$6))-D$10)/(D$11-D$10)*(D$13-D$12))*IF(D$14&lt;&gt;"",D$14,1))</f>
        <v>#N/A</v>
      </c>
      <c r="E156" s="4" t="e" cm="1">
        <f t="array" aca="1" ref="E156" ca="1">IF(ROWS(C$18:C156)&gt;E$8-E$7+1,
   NA(),
   IF(OR(E$7="",E$8="",E$7=E$8),
      NA(),
      (INDIRECT(ADDRESS(E$7+ROWS($B$18:C156)-1,COLUMN(INDIRECT(E$9&amp;1)),,,E$6))-E$10)/(E$11-E$10)*(E$13-E$12))*IF(E$14&lt;&gt;"",E$14,1))</f>
        <v>#N/A</v>
      </c>
      <c r="F156" s="4" t="e" cm="1">
        <f t="array" aca="1" ref="F156" ca="1">IF(ROWS(D$18:D156)&gt;F$8-F$7+1,
   NA(),
   IF(OR(F$7="",F$8="",F$7=F$8),
      NA(),
      (INDIRECT(ADDRESS(F$7+ROWS($B$18:D156)-1,COLUMN(INDIRECT(F$9&amp;1)),,,F$6))-F$10)/(F$11-F$10)*(F$13-F$12))*IF(F$14&lt;&gt;"",F$14,1))</f>
        <v>#N/A</v>
      </c>
      <c r="I156" s="3" t="e" cm="1">
        <f t="array" aca="1" ref="I156" ca="1">IF(ROWS(G$18:G156)&gt;I$8-I$7+1,
   NA(),
   IF(OR(I$7="",I$8="",I$7=I$8),
      NA(),
      (INDIRECT(ADDRESS(I$7+ROWS($B$18:G156)-1,COLUMN(INDIRECT(I$9&amp;1)),,,I$6))-I$10)/(I$11-I$10)*(I$13-I$12))*IF(I$14&lt;&gt;"",I$14,1))</f>
        <v>#N/A</v>
      </c>
      <c r="J156" s="4" t="e" cm="1">
        <f t="array" aca="1" ref="J156" ca="1">IF(ROWS(H$18:H156)&gt;J$8-J$7+1,
   NA(),
   IF(OR(J$7="",J$8="",J$7=J$8),
      NA(),
      (INDIRECT(ADDRESS(J$7+ROWS($B$18:H156)-1,COLUMN(INDIRECT(J$9&amp;1)),,,J$6))-J$10)/(J$11-J$10)*(J$13-J$12))*IF(J$14&lt;&gt;"",J$14,1))</f>
        <v>#N/A</v>
      </c>
      <c r="K156" s="4" t="e" cm="1">
        <f t="array" aca="1" ref="K156" ca="1">IF(ROWS(I$18:I156)&gt;K$8-K$7+1,
   NA(),
   IF(OR(K$7="",K$8="",K$7=K$8),
      NA(),
      (INDIRECT(ADDRESS(K$7+ROWS($B$18:I156)-1,COLUMN(INDIRECT(K$9&amp;1)),,,K$6))-K$10)/(K$11-K$10)*(K$13-K$12))*IF(K$14&lt;&gt;"",K$14,1))</f>
        <v>#N/A</v>
      </c>
      <c r="L156" s="4" t="e" cm="1">
        <f t="array" aca="1" ref="L156" ca="1">IF(ROWS(J$18:J156)&gt;L$8-L$7+1,
   NA(),
   IF(OR(L$7="",L$8="",L$7=L$8),
      NA(),
      (INDIRECT(ADDRESS(L$7+ROWS($B$18:J156)-1,COLUMN(INDIRECT(L$9&amp;1)),,,L$6))-L$10)/(L$11-L$10)*(L$13-L$12))*IF(L$14&lt;&gt;"",L$14,1))</f>
        <v>#N/A</v>
      </c>
    </row>
    <row r="157" spans="3:12" x14ac:dyDescent="0.2">
      <c r="C157" s="3" t="e" cm="1">
        <f t="array" aca="1" ref="C157" ca="1">IF(ROWS(A$18:A157)&gt;C$8-C$7+1,
   NA(),
   IF(OR(C$7="",C$8="",C$7=C$8),
      NA(),
      (INDIRECT(ADDRESS(C$7+ROWS(A$18:$B157)-1,COLUMN(INDIRECT(C$9&amp;1)),,,C$6))-C$10)/(C$11-C$10)*(C$13-C$12))*IF(C$14&lt;&gt;"",C$14,1))</f>
        <v>#N/A</v>
      </c>
      <c r="D157" s="4" t="e" cm="1">
        <f t="array" aca="1" ref="D157" ca="1">IF(ROWS(B$18:B157)&gt;D$8-D$7+1,
   NA(),
   IF(OR(D$7="",D$8="",D$7=D$8),
      NA(),
      (INDIRECT(ADDRESS(D$7+ROWS($B$18:B157)-1,COLUMN(INDIRECT(D$9&amp;1)),,,D$6))-D$10)/(D$11-D$10)*(D$13-D$12))*IF(D$14&lt;&gt;"",D$14,1))</f>
        <v>#N/A</v>
      </c>
      <c r="E157" s="4" t="e" cm="1">
        <f t="array" aca="1" ref="E157" ca="1">IF(ROWS(C$18:C157)&gt;E$8-E$7+1,
   NA(),
   IF(OR(E$7="",E$8="",E$7=E$8),
      NA(),
      (INDIRECT(ADDRESS(E$7+ROWS($B$18:C157)-1,COLUMN(INDIRECT(E$9&amp;1)),,,E$6))-E$10)/(E$11-E$10)*(E$13-E$12))*IF(E$14&lt;&gt;"",E$14,1))</f>
        <v>#N/A</v>
      </c>
      <c r="F157" s="4" t="e" cm="1">
        <f t="array" aca="1" ref="F157" ca="1">IF(ROWS(D$18:D157)&gt;F$8-F$7+1,
   NA(),
   IF(OR(F$7="",F$8="",F$7=F$8),
      NA(),
      (INDIRECT(ADDRESS(F$7+ROWS($B$18:D157)-1,COLUMN(INDIRECT(F$9&amp;1)),,,F$6))-F$10)/(F$11-F$10)*(F$13-F$12))*IF(F$14&lt;&gt;"",F$14,1))</f>
        <v>#N/A</v>
      </c>
      <c r="I157" s="3" t="e" cm="1">
        <f t="array" aca="1" ref="I157" ca="1">IF(ROWS(G$18:G157)&gt;I$8-I$7+1,
   NA(),
   IF(OR(I$7="",I$8="",I$7=I$8),
      NA(),
      (INDIRECT(ADDRESS(I$7+ROWS($B$18:G157)-1,COLUMN(INDIRECT(I$9&amp;1)),,,I$6))-I$10)/(I$11-I$10)*(I$13-I$12))*IF(I$14&lt;&gt;"",I$14,1))</f>
        <v>#N/A</v>
      </c>
      <c r="J157" s="4" t="e" cm="1">
        <f t="array" aca="1" ref="J157" ca="1">IF(ROWS(H$18:H157)&gt;J$8-J$7+1,
   NA(),
   IF(OR(J$7="",J$8="",J$7=J$8),
      NA(),
      (INDIRECT(ADDRESS(J$7+ROWS($B$18:H157)-1,COLUMN(INDIRECT(J$9&amp;1)),,,J$6))-J$10)/(J$11-J$10)*(J$13-J$12))*IF(J$14&lt;&gt;"",J$14,1))</f>
        <v>#N/A</v>
      </c>
      <c r="K157" s="4" t="e" cm="1">
        <f t="array" aca="1" ref="K157" ca="1">IF(ROWS(I$18:I157)&gt;K$8-K$7+1,
   NA(),
   IF(OR(K$7="",K$8="",K$7=K$8),
      NA(),
      (INDIRECT(ADDRESS(K$7+ROWS($B$18:I157)-1,COLUMN(INDIRECT(K$9&amp;1)),,,K$6))-K$10)/(K$11-K$10)*(K$13-K$12))*IF(K$14&lt;&gt;"",K$14,1))</f>
        <v>#N/A</v>
      </c>
      <c r="L157" s="4" t="e" cm="1">
        <f t="array" aca="1" ref="L157" ca="1">IF(ROWS(J$18:J157)&gt;L$8-L$7+1,
   NA(),
   IF(OR(L$7="",L$8="",L$7=L$8),
      NA(),
      (INDIRECT(ADDRESS(L$7+ROWS($B$18:J157)-1,COLUMN(INDIRECT(L$9&amp;1)),,,L$6))-L$10)/(L$11-L$10)*(L$13-L$12))*IF(L$14&lt;&gt;"",L$14,1))</f>
        <v>#N/A</v>
      </c>
    </row>
    <row r="158" spans="3:12" x14ac:dyDescent="0.2">
      <c r="C158" s="3" t="e" cm="1">
        <f t="array" aca="1" ref="C158" ca="1">IF(ROWS(A$18:A158)&gt;C$8-C$7+1,
   NA(),
   IF(OR(C$7="",C$8="",C$7=C$8),
      NA(),
      (INDIRECT(ADDRESS(C$7+ROWS(A$18:$B158)-1,COLUMN(INDIRECT(C$9&amp;1)),,,C$6))-C$10)/(C$11-C$10)*(C$13-C$12))*IF(C$14&lt;&gt;"",C$14,1))</f>
        <v>#N/A</v>
      </c>
      <c r="D158" s="4" t="e" cm="1">
        <f t="array" aca="1" ref="D158" ca="1">IF(ROWS(B$18:B158)&gt;D$8-D$7+1,
   NA(),
   IF(OR(D$7="",D$8="",D$7=D$8),
      NA(),
      (INDIRECT(ADDRESS(D$7+ROWS($B$18:B158)-1,COLUMN(INDIRECT(D$9&amp;1)),,,D$6))-D$10)/(D$11-D$10)*(D$13-D$12))*IF(D$14&lt;&gt;"",D$14,1))</f>
        <v>#N/A</v>
      </c>
      <c r="E158" s="4" t="e" cm="1">
        <f t="array" aca="1" ref="E158" ca="1">IF(ROWS(C$18:C158)&gt;E$8-E$7+1,
   NA(),
   IF(OR(E$7="",E$8="",E$7=E$8),
      NA(),
      (INDIRECT(ADDRESS(E$7+ROWS($B$18:C158)-1,COLUMN(INDIRECT(E$9&amp;1)),,,E$6))-E$10)/(E$11-E$10)*(E$13-E$12))*IF(E$14&lt;&gt;"",E$14,1))</f>
        <v>#N/A</v>
      </c>
      <c r="F158" s="4" t="e" cm="1">
        <f t="array" aca="1" ref="F158" ca="1">IF(ROWS(D$18:D158)&gt;F$8-F$7+1,
   NA(),
   IF(OR(F$7="",F$8="",F$7=F$8),
      NA(),
      (INDIRECT(ADDRESS(F$7+ROWS($B$18:D158)-1,COLUMN(INDIRECT(F$9&amp;1)),,,F$6))-F$10)/(F$11-F$10)*(F$13-F$12))*IF(F$14&lt;&gt;"",F$14,1))</f>
        <v>#N/A</v>
      </c>
      <c r="I158" s="3" t="e" cm="1">
        <f t="array" aca="1" ref="I158" ca="1">IF(ROWS(G$18:G158)&gt;I$8-I$7+1,
   NA(),
   IF(OR(I$7="",I$8="",I$7=I$8),
      NA(),
      (INDIRECT(ADDRESS(I$7+ROWS($B$18:G158)-1,COLUMN(INDIRECT(I$9&amp;1)),,,I$6))-I$10)/(I$11-I$10)*(I$13-I$12))*IF(I$14&lt;&gt;"",I$14,1))</f>
        <v>#N/A</v>
      </c>
      <c r="J158" s="4" t="e" cm="1">
        <f t="array" aca="1" ref="J158" ca="1">IF(ROWS(H$18:H158)&gt;J$8-J$7+1,
   NA(),
   IF(OR(J$7="",J$8="",J$7=J$8),
      NA(),
      (INDIRECT(ADDRESS(J$7+ROWS($B$18:H158)-1,COLUMN(INDIRECT(J$9&amp;1)),,,J$6))-J$10)/(J$11-J$10)*(J$13-J$12))*IF(J$14&lt;&gt;"",J$14,1))</f>
        <v>#N/A</v>
      </c>
      <c r="K158" s="4" t="e" cm="1">
        <f t="array" aca="1" ref="K158" ca="1">IF(ROWS(I$18:I158)&gt;K$8-K$7+1,
   NA(),
   IF(OR(K$7="",K$8="",K$7=K$8),
      NA(),
      (INDIRECT(ADDRESS(K$7+ROWS($B$18:I158)-1,COLUMN(INDIRECT(K$9&amp;1)),,,K$6))-K$10)/(K$11-K$10)*(K$13-K$12))*IF(K$14&lt;&gt;"",K$14,1))</f>
        <v>#N/A</v>
      </c>
      <c r="L158" s="4" t="e" cm="1">
        <f t="array" aca="1" ref="L158" ca="1">IF(ROWS(J$18:J158)&gt;L$8-L$7+1,
   NA(),
   IF(OR(L$7="",L$8="",L$7=L$8),
      NA(),
      (INDIRECT(ADDRESS(L$7+ROWS($B$18:J158)-1,COLUMN(INDIRECT(L$9&amp;1)),,,L$6))-L$10)/(L$11-L$10)*(L$13-L$12))*IF(L$14&lt;&gt;"",L$14,1))</f>
        <v>#N/A</v>
      </c>
    </row>
    <row r="159" spans="3:12" x14ac:dyDescent="0.2">
      <c r="C159" s="3" t="e" cm="1">
        <f t="array" aca="1" ref="C159" ca="1">IF(ROWS(A$18:A159)&gt;C$8-C$7+1,
   NA(),
   IF(OR(C$7="",C$8="",C$7=C$8),
      NA(),
      (INDIRECT(ADDRESS(C$7+ROWS(A$18:$B159)-1,COLUMN(INDIRECT(C$9&amp;1)),,,C$6))-C$10)/(C$11-C$10)*(C$13-C$12))*IF(C$14&lt;&gt;"",C$14,1))</f>
        <v>#N/A</v>
      </c>
      <c r="D159" s="4" t="e" cm="1">
        <f t="array" aca="1" ref="D159" ca="1">IF(ROWS(B$18:B159)&gt;D$8-D$7+1,
   NA(),
   IF(OR(D$7="",D$8="",D$7=D$8),
      NA(),
      (INDIRECT(ADDRESS(D$7+ROWS($B$18:B159)-1,COLUMN(INDIRECT(D$9&amp;1)),,,D$6))-D$10)/(D$11-D$10)*(D$13-D$12))*IF(D$14&lt;&gt;"",D$14,1))</f>
        <v>#N/A</v>
      </c>
      <c r="E159" s="4" t="e" cm="1">
        <f t="array" aca="1" ref="E159" ca="1">IF(ROWS(C$18:C159)&gt;E$8-E$7+1,
   NA(),
   IF(OR(E$7="",E$8="",E$7=E$8),
      NA(),
      (INDIRECT(ADDRESS(E$7+ROWS($B$18:C159)-1,COLUMN(INDIRECT(E$9&amp;1)),,,E$6))-E$10)/(E$11-E$10)*(E$13-E$12))*IF(E$14&lt;&gt;"",E$14,1))</f>
        <v>#N/A</v>
      </c>
      <c r="F159" s="4" t="e" cm="1">
        <f t="array" aca="1" ref="F159" ca="1">IF(ROWS(D$18:D159)&gt;F$8-F$7+1,
   NA(),
   IF(OR(F$7="",F$8="",F$7=F$8),
      NA(),
      (INDIRECT(ADDRESS(F$7+ROWS($B$18:D159)-1,COLUMN(INDIRECT(F$9&amp;1)),,,F$6))-F$10)/(F$11-F$10)*(F$13-F$12))*IF(F$14&lt;&gt;"",F$14,1))</f>
        <v>#N/A</v>
      </c>
      <c r="I159" s="3" t="e" cm="1">
        <f t="array" aca="1" ref="I159" ca="1">IF(ROWS(G$18:G159)&gt;I$8-I$7+1,
   NA(),
   IF(OR(I$7="",I$8="",I$7=I$8),
      NA(),
      (INDIRECT(ADDRESS(I$7+ROWS($B$18:G159)-1,COLUMN(INDIRECT(I$9&amp;1)),,,I$6))-I$10)/(I$11-I$10)*(I$13-I$12))*IF(I$14&lt;&gt;"",I$14,1))</f>
        <v>#N/A</v>
      </c>
      <c r="J159" s="4" t="e" cm="1">
        <f t="array" aca="1" ref="J159" ca="1">IF(ROWS(H$18:H159)&gt;J$8-J$7+1,
   NA(),
   IF(OR(J$7="",J$8="",J$7=J$8),
      NA(),
      (INDIRECT(ADDRESS(J$7+ROWS($B$18:H159)-1,COLUMN(INDIRECT(J$9&amp;1)),,,J$6))-J$10)/(J$11-J$10)*(J$13-J$12))*IF(J$14&lt;&gt;"",J$14,1))</f>
        <v>#N/A</v>
      </c>
      <c r="K159" s="4" t="e" cm="1">
        <f t="array" aca="1" ref="K159" ca="1">IF(ROWS(I$18:I159)&gt;K$8-K$7+1,
   NA(),
   IF(OR(K$7="",K$8="",K$7=K$8),
      NA(),
      (INDIRECT(ADDRESS(K$7+ROWS($B$18:I159)-1,COLUMN(INDIRECT(K$9&amp;1)),,,K$6))-K$10)/(K$11-K$10)*(K$13-K$12))*IF(K$14&lt;&gt;"",K$14,1))</f>
        <v>#N/A</v>
      </c>
      <c r="L159" s="4" t="e" cm="1">
        <f t="array" aca="1" ref="L159" ca="1">IF(ROWS(J$18:J159)&gt;L$8-L$7+1,
   NA(),
   IF(OR(L$7="",L$8="",L$7=L$8),
      NA(),
      (INDIRECT(ADDRESS(L$7+ROWS($B$18:J159)-1,COLUMN(INDIRECT(L$9&amp;1)),,,L$6))-L$10)/(L$11-L$10)*(L$13-L$12))*IF(L$14&lt;&gt;"",L$14,1))</f>
        <v>#N/A</v>
      </c>
    </row>
    <row r="160" spans="3:12" x14ac:dyDescent="0.2">
      <c r="C160" s="3" t="e" cm="1">
        <f t="array" aca="1" ref="C160" ca="1">IF(ROWS(A$18:A160)&gt;C$8-C$7+1,
   NA(),
   IF(OR(C$7="",C$8="",C$7=C$8),
      NA(),
      (INDIRECT(ADDRESS(C$7+ROWS(A$18:$B160)-1,COLUMN(INDIRECT(C$9&amp;1)),,,C$6))-C$10)/(C$11-C$10)*(C$13-C$12))*IF(C$14&lt;&gt;"",C$14,1))</f>
        <v>#N/A</v>
      </c>
      <c r="D160" s="4" t="e" cm="1">
        <f t="array" aca="1" ref="D160" ca="1">IF(ROWS(B$18:B160)&gt;D$8-D$7+1,
   NA(),
   IF(OR(D$7="",D$8="",D$7=D$8),
      NA(),
      (INDIRECT(ADDRESS(D$7+ROWS($B$18:B160)-1,COLUMN(INDIRECT(D$9&amp;1)),,,D$6))-D$10)/(D$11-D$10)*(D$13-D$12))*IF(D$14&lt;&gt;"",D$14,1))</f>
        <v>#N/A</v>
      </c>
      <c r="E160" s="4" t="e" cm="1">
        <f t="array" aca="1" ref="E160" ca="1">IF(ROWS(C$18:C160)&gt;E$8-E$7+1,
   NA(),
   IF(OR(E$7="",E$8="",E$7=E$8),
      NA(),
      (INDIRECT(ADDRESS(E$7+ROWS($B$18:C160)-1,COLUMN(INDIRECT(E$9&amp;1)),,,E$6))-E$10)/(E$11-E$10)*(E$13-E$12))*IF(E$14&lt;&gt;"",E$14,1))</f>
        <v>#N/A</v>
      </c>
      <c r="F160" s="4" t="e" cm="1">
        <f t="array" aca="1" ref="F160" ca="1">IF(ROWS(D$18:D160)&gt;F$8-F$7+1,
   NA(),
   IF(OR(F$7="",F$8="",F$7=F$8),
      NA(),
      (INDIRECT(ADDRESS(F$7+ROWS($B$18:D160)-1,COLUMN(INDIRECT(F$9&amp;1)),,,F$6))-F$10)/(F$11-F$10)*(F$13-F$12))*IF(F$14&lt;&gt;"",F$14,1))</f>
        <v>#N/A</v>
      </c>
      <c r="I160" s="3" t="e" cm="1">
        <f t="array" aca="1" ref="I160" ca="1">IF(ROWS(G$18:G160)&gt;I$8-I$7+1,
   NA(),
   IF(OR(I$7="",I$8="",I$7=I$8),
      NA(),
      (INDIRECT(ADDRESS(I$7+ROWS($B$18:G160)-1,COLUMN(INDIRECT(I$9&amp;1)),,,I$6))-I$10)/(I$11-I$10)*(I$13-I$12))*IF(I$14&lt;&gt;"",I$14,1))</f>
        <v>#N/A</v>
      </c>
      <c r="J160" s="4" t="e" cm="1">
        <f t="array" aca="1" ref="J160" ca="1">IF(ROWS(H$18:H160)&gt;J$8-J$7+1,
   NA(),
   IF(OR(J$7="",J$8="",J$7=J$8),
      NA(),
      (INDIRECT(ADDRESS(J$7+ROWS($B$18:H160)-1,COLUMN(INDIRECT(J$9&amp;1)),,,J$6))-J$10)/(J$11-J$10)*(J$13-J$12))*IF(J$14&lt;&gt;"",J$14,1))</f>
        <v>#N/A</v>
      </c>
      <c r="K160" s="4" t="e" cm="1">
        <f t="array" aca="1" ref="K160" ca="1">IF(ROWS(I$18:I160)&gt;K$8-K$7+1,
   NA(),
   IF(OR(K$7="",K$8="",K$7=K$8),
      NA(),
      (INDIRECT(ADDRESS(K$7+ROWS($B$18:I160)-1,COLUMN(INDIRECT(K$9&amp;1)),,,K$6))-K$10)/(K$11-K$10)*(K$13-K$12))*IF(K$14&lt;&gt;"",K$14,1))</f>
        <v>#N/A</v>
      </c>
      <c r="L160" s="4" t="e" cm="1">
        <f t="array" aca="1" ref="L160" ca="1">IF(ROWS(J$18:J160)&gt;L$8-L$7+1,
   NA(),
   IF(OR(L$7="",L$8="",L$7=L$8),
      NA(),
      (INDIRECT(ADDRESS(L$7+ROWS($B$18:J160)-1,COLUMN(INDIRECT(L$9&amp;1)),,,L$6))-L$10)/(L$11-L$10)*(L$13-L$12))*IF(L$14&lt;&gt;"",L$14,1))</f>
        <v>#N/A</v>
      </c>
    </row>
    <row r="161" spans="3:12" x14ac:dyDescent="0.2">
      <c r="C161" s="3" t="e" cm="1">
        <f t="array" aca="1" ref="C161" ca="1">IF(ROWS(A$18:A161)&gt;C$8-C$7+1,
   NA(),
   IF(OR(C$7="",C$8="",C$7=C$8),
      NA(),
      (INDIRECT(ADDRESS(C$7+ROWS(A$18:$B161)-1,COLUMN(INDIRECT(C$9&amp;1)),,,C$6))-C$10)/(C$11-C$10)*(C$13-C$12))*IF(C$14&lt;&gt;"",C$14,1))</f>
        <v>#N/A</v>
      </c>
      <c r="D161" s="4" t="e" cm="1">
        <f t="array" aca="1" ref="D161" ca="1">IF(ROWS(B$18:B161)&gt;D$8-D$7+1,
   NA(),
   IF(OR(D$7="",D$8="",D$7=D$8),
      NA(),
      (INDIRECT(ADDRESS(D$7+ROWS($B$18:B161)-1,COLUMN(INDIRECT(D$9&amp;1)),,,D$6))-D$10)/(D$11-D$10)*(D$13-D$12))*IF(D$14&lt;&gt;"",D$14,1))</f>
        <v>#N/A</v>
      </c>
      <c r="E161" s="4" t="e" cm="1">
        <f t="array" aca="1" ref="E161" ca="1">IF(ROWS(C$18:C161)&gt;E$8-E$7+1,
   NA(),
   IF(OR(E$7="",E$8="",E$7=E$8),
      NA(),
      (INDIRECT(ADDRESS(E$7+ROWS($B$18:C161)-1,COLUMN(INDIRECT(E$9&amp;1)),,,E$6))-E$10)/(E$11-E$10)*(E$13-E$12))*IF(E$14&lt;&gt;"",E$14,1))</f>
        <v>#N/A</v>
      </c>
      <c r="F161" s="4" t="e" cm="1">
        <f t="array" aca="1" ref="F161" ca="1">IF(ROWS(D$18:D161)&gt;F$8-F$7+1,
   NA(),
   IF(OR(F$7="",F$8="",F$7=F$8),
      NA(),
      (INDIRECT(ADDRESS(F$7+ROWS($B$18:D161)-1,COLUMN(INDIRECT(F$9&amp;1)),,,F$6))-F$10)/(F$11-F$10)*(F$13-F$12))*IF(F$14&lt;&gt;"",F$14,1))</f>
        <v>#N/A</v>
      </c>
      <c r="I161" s="3" t="e" cm="1">
        <f t="array" aca="1" ref="I161" ca="1">IF(ROWS(G$18:G161)&gt;I$8-I$7+1,
   NA(),
   IF(OR(I$7="",I$8="",I$7=I$8),
      NA(),
      (INDIRECT(ADDRESS(I$7+ROWS($B$18:G161)-1,COLUMN(INDIRECT(I$9&amp;1)),,,I$6))-I$10)/(I$11-I$10)*(I$13-I$12))*IF(I$14&lt;&gt;"",I$14,1))</f>
        <v>#N/A</v>
      </c>
      <c r="J161" s="4" t="e" cm="1">
        <f t="array" aca="1" ref="J161" ca="1">IF(ROWS(H$18:H161)&gt;J$8-J$7+1,
   NA(),
   IF(OR(J$7="",J$8="",J$7=J$8),
      NA(),
      (INDIRECT(ADDRESS(J$7+ROWS($B$18:H161)-1,COLUMN(INDIRECT(J$9&amp;1)),,,J$6))-J$10)/(J$11-J$10)*(J$13-J$12))*IF(J$14&lt;&gt;"",J$14,1))</f>
        <v>#N/A</v>
      </c>
      <c r="K161" s="4" t="e" cm="1">
        <f t="array" aca="1" ref="K161" ca="1">IF(ROWS(I$18:I161)&gt;K$8-K$7+1,
   NA(),
   IF(OR(K$7="",K$8="",K$7=K$8),
      NA(),
      (INDIRECT(ADDRESS(K$7+ROWS($B$18:I161)-1,COLUMN(INDIRECT(K$9&amp;1)),,,K$6))-K$10)/(K$11-K$10)*(K$13-K$12))*IF(K$14&lt;&gt;"",K$14,1))</f>
        <v>#N/A</v>
      </c>
      <c r="L161" s="4" t="e" cm="1">
        <f t="array" aca="1" ref="L161" ca="1">IF(ROWS(J$18:J161)&gt;L$8-L$7+1,
   NA(),
   IF(OR(L$7="",L$8="",L$7=L$8),
      NA(),
      (INDIRECT(ADDRESS(L$7+ROWS($B$18:J161)-1,COLUMN(INDIRECT(L$9&amp;1)),,,L$6))-L$10)/(L$11-L$10)*(L$13-L$12))*IF(L$14&lt;&gt;"",L$14,1))</f>
        <v>#N/A</v>
      </c>
    </row>
    <row r="162" spans="3:12" x14ac:dyDescent="0.2">
      <c r="C162" s="3" t="e" cm="1">
        <f t="array" aca="1" ref="C162" ca="1">IF(ROWS(A$18:A162)&gt;C$8-C$7+1,
   NA(),
   IF(OR(C$7="",C$8="",C$7=C$8),
      NA(),
      (INDIRECT(ADDRESS(C$7+ROWS(A$18:$B162)-1,COLUMN(INDIRECT(C$9&amp;1)),,,C$6))-C$10)/(C$11-C$10)*(C$13-C$12))*IF(C$14&lt;&gt;"",C$14,1))</f>
        <v>#N/A</v>
      </c>
      <c r="D162" s="4" t="e" cm="1">
        <f t="array" aca="1" ref="D162" ca="1">IF(ROWS(B$18:B162)&gt;D$8-D$7+1,
   NA(),
   IF(OR(D$7="",D$8="",D$7=D$8),
      NA(),
      (INDIRECT(ADDRESS(D$7+ROWS($B$18:B162)-1,COLUMN(INDIRECT(D$9&amp;1)),,,D$6))-D$10)/(D$11-D$10)*(D$13-D$12))*IF(D$14&lt;&gt;"",D$14,1))</f>
        <v>#N/A</v>
      </c>
      <c r="E162" s="4" t="e" cm="1">
        <f t="array" aca="1" ref="E162" ca="1">IF(ROWS(C$18:C162)&gt;E$8-E$7+1,
   NA(),
   IF(OR(E$7="",E$8="",E$7=E$8),
      NA(),
      (INDIRECT(ADDRESS(E$7+ROWS($B$18:C162)-1,COLUMN(INDIRECT(E$9&amp;1)),,,E$6))-E$10)/(E$11-E$10)*(E$13-E$12))*IF(E$14&lt;&gt;"",E$14,1))</f>
        <v>#N/A</v>
      </c>
      <c r="F162" s="4" t="e" cm="1">
        <f t="array" aca="1" ref="F162" ca="1">IF(ROWS(D$18:D162)&gt;F$8-F$7+1,
   NA(),
   IF(OR(F$7="",F$8="",F$7=F$8),
      NA(),
      (INDIRECT(ADDRESS(F$7+ROWS($B$18:D162)-1,COLUMN(INDIRECT(F$9&amp;1)),,,F$6))-F$10)/(F$11-F$10)*(F$13-F$12))*IF(F$14&lt;&gt;"",F$14,1))</f>
        <v>#N/A</v>
      </c>
      <c r="I162" s="3" t="e" cm="1">
        <f t="array" aca="1" ref="I162" ca="1">IF(ROWS(G$18:G162)&gt;I$8-I$7+1,
   NA(),
   IF(OR(I$7="",I$8="",I$7=I$8),
      NA(),
      (INDIRECT(ADDRESS(I$7+ROWS($B$18:G162)-1,COLUMN(INDIRECT(I$9&amp;1)),,,I$6))-I$10)/(I$11-I$10)*(I$13-I$12))*IF(I$14&lt;&gt;"",I$14,1))</f>
        <v>#N/A</v>
      </c>
      <c r="J162" s="4" t="e" cm="1">
        <f t="array" aca="1" ref="J162" ca="1">IF(ROWS(H$18:H162)&gt;J$8-J$7+1,
   NA(),
   IF(OR(J$7="",J$8="",J$7=J$8),
      NA(),
      (INDIRECT(ADDRESS(J$7+ROWS($B$18:H162)-1,COLUMN(INDIRECT(J$9&amp;1)),,,J$6))-J$10)/(J$11-J$10)*(J$13-J$12))*IF(J$14&lt;&gt;"",J$14,1))</f>
        <v>#N/A</v>
      </c>
      <c r="K162" s="4" t="e" cm="1">
        <f t="array" aca="1" ref="K162" ca="1">IF(ROWS(I$18:I162)&gt;K$8-K$7+1,
   NA(),
   IF(OR(K$7="",K$8="",K$7=K$8),
      NA(),
      (INDIRECT(ADDRESS(K$7+ROWS($B$18:I162)-1,COLUMN(INDIRECT(K$9&amp;1)),,,K$6))-K$10)/(K$11-K$10)*(K$13-K$12))*IF(K$14&lt;&gt;"",K$14,1))</f>
        <v>#N/A</v>
      </c>
      <c r="L162" s="4" t="e" cm="1">
        <f t="array" aca="1" ref="L162" ca="1">IF(ROWS(J$18:J162)&gt;L$8-L$7+1,
   NA(),
   IF(OR(L$7="",L$8="",L$7=L$8),
      NA(),
      (INDIRECT(ADDRESS(L$7+ROWS($B$18:J162)-1,COLUMN(INDIRECT(L$9&amp;1)),,,L$6))-L$10)/(L$11-L$10)*(L$13-L$12))*IF(L$14&lt;&gt;"",L$14,1))</f>
        <v>#N/A</v>
      </c>
    </row>
    <row r="163" spans="3:12" x14ac:dyDescent="0.2">
      <c r="C163" s="3" t="e" cm="1">
        <f t="array" aca="1" ref="C163" ca="1">IF(ROWS(A$18:A163)&gt;C$8-C$7+1,
   NA(),
   IF(OR(C$7="",C$8="",C$7=C$8),
      NA(),
      (INDIRECT(ADDRESS(C$7+ROWS(A$18:$B163)-1,COLUMN(INDIRECT(C$9&amp;1)),,,C$6))-C$10)/(C$11-C$10)*(C$13-C$12))*IF(C$14&lt;&gt;"",C$14,1))</f>
        <v>#N/A</v>
      </c>
      <c r="D163" s="4" t="e" cm="1">
        <f t="array" aca="1" ref="D163" ca="1">IF(ROWS(B$18:B163)&gt;D$8-D$7+1,
   NA(),
   IF(OR(D$7="",D$8="",D$7=D$8),
      NA(),
      (INDIRECT(ADDRESS(D$7+ROWS($B$18:B163)-1,COLUMN(INDIRECT(D$9&amp;1)),,,D$6))-D$10)/(D$11-D$10)*(D$13-D$12))*IF(D$14&lt;&gt;"",D$14,1))</f>
        <v>#N/A</v>
      </c>
      <c r="E163" s="4" t="e" cm="1">
        <f t="array" aca="1" ref="E163" ca="1">IF(ROWS(C$18:C163)&gt;E$8-E$7+1,
   NA(),
   IF(OR(E$7="",E$8="",E$7=E$8),
      NA(),
      (INDIRECT(ADDRESS(E$7+ROWS($B$18:C163)-1,COLUMN(INDIRECT(E$9&amp;1)),,,E$6))-E$10)/(E$11-E$10)*(E$13-E$12))*IF(E$14&lt;&gt;"",E$14,1))</f>
        <v>#N/A</v>
      </c>
      <c r="F163" s="4" t="e" cm="1">
        <f t="array" aca="1" ref="F163" ca="1">IF(ROWS(D$18:D163)&gt;F$8-F$7+1,
   NA(),
   IF(OR(F$7="",F$8="",F$7=F$8),
      NA(),
      (INDIRECT(ADDRESS(F$7+ROWS($B$18:D163)-1,COLUMN(INDIRECT(F$9&amp;1)),,,F$6))-F$10)/(F$11-F$10)*(F$13-F$12))*IF(F$14&lt;&gt;"",F$14,1))</f>
        <v>#N/A</v>
      </c>
      <c r="I163" s="3" t="e" cm="1">
        <f t="array" aca="1" ref="I163" ca="1">IF(ROWS(G$18:G163)&gt;I$8-I$7+1,
   NA(),
   IF(OR(I$7="",I$8="",I$7=I$8),
      NA(),
      (INDIRECT(ADDRESS(I$7+ROWS($B$18:G163)-1,COLUMN(INDIRECT(I$9&amp;1)),,,I$6))-I$10)/(I$11-I$10)*(I$13-I$12))*IF(I$14&lt;&gt;"",I$14,1))</f>
        <v>#N/A</v>
      </c>
      <c r="J163" s="4" t="e" cm="1">
        <f t="array" aca="1" ref="J163" ca="1">IF(ROWS(H$18:H163)&gt;J$8-J$7+1,
   NA(),
   IF(OR(J$7="",J$8="",J$7=J$8),
      NA(),
      (INDIRECT(ADDRESS(J$7+ROWS($B$18:H163)-1,COLUMN(INDIRECT(J$9&amp;1)),,,J$6))-J$10)/(J$11-J$10)*(J$13-J$12))*IF(J$14&lt;&gt;"",J$14,1))</f>
        <v>#N/A</v>
      </c>
      <c r="K163" s="4" t="e" cm="1">
        <f t="array" aca="1" ref="K163" ca="1">IF(ROWS(I$18:I163)&gt;K$8-K$7+1,
   NA(),
   IF(OR(K$7="",K$8="",K$7=K$8),
      NA(),
      (INDIRECT(ADDRESS(K$7+ROWS($B$18:I163)-1,COLUMN(INDIRECT(K$9&amp;1)),,,K$6))-K$10)/(K$11-K$10)*(K$13-K$12))*IF(K$14&lt;&gt;"",K$14,1))</f>
        <v>#N/A</v>
      </c>
      <c r="L163" s="4" t="e" cm="1">
        <f t="array" aca="1" ref="L163" ca="1">IF(ROWS(J$18:J163)&gt;L$8-L$7+1,
   NA(),
   IF(OR(L$7="",L$8="",L$7=L$8),
      NA(),
      (INDIRECT(ADDRESS(L$7+ROWS($B$18:J163)-1,COLUMN(INDIRECT(L$9&amp;1)),,,L$6))-L$10)/(L$11-L$10)*(L$13-L$12))*IF(L$14&lt;&gt;"",L$14,1))</f>
        <v>#N/A</v>
      </c>
    </row>
    <row r="164" spans="3:12" x14ac:dyDescent="0.2">
      <c r="C164" s="3" t="e" cm="1">
        <f t="array" aca="1" ref="C164" ca="1">IF(ROWS(A$18:A164)&gt;C$8-C$7+1,
   NA(),
   IF(OR(C$7="",C$8="",C$7=C$8),
      NA(),
      (INDIRECT(ADDRESS(C$7+ROWS(A$18:$B164)-1,COLUMN(INDIRECT(C$9&amp;1)),,,C$6))-C$10)/(C$11-C$10)*(C$13-C$12))*IF(C$14&lt;&gt;"",C$14,1))</f>
        <v>#N/A</v>
      </c>
      <c r="D164" s="4" t="e" cm="1">
        <f t="array" aca="1" ref="D164" ca="1">IF(ROWS(B$18:B164)&gt;D$8-D$7+1,
   NA(),
   IF(OR(D$7="",D$8="",D$7=D$8),
      NA(),
      (INDIRECT(ADDRESS(D$7+ROWS($B$18:B164)-1,COLUMN(INDIRECT(D$9&amp;1)),,,D$6))-D$10)/(D$11-D$10)*(D$13-D$12))*IF(D$14&lt;&gt;"",D$14,1))</f>
        <v>#N/A</v>
      </c>
      <c r="E164" s="4" t="e" cm="1">
        <f t="array" aca="1" ref="E164" ca="1">IF(ROWS(C$18:C164)&gt;E$8-E$7+1,
   NA(),
   IF(OR(E$7="",E$8="",E$7=E$8),
      NA(),
      (INDIRECT(ADDRESS(E$7+ROWS($B$18:C164)-1,COLUMN(INDIRECT(E$9&amp;1)),,,E$6))-E$10)/(E$11-E$10)*(E$13-E$12))*IF(E$14&lt;&gt;"",E$14,1))</f>
        <v>#N/A</v>
      </c>
      <c r="F164" s="4" t="e" cm="1">
        <f t="array" aca="1" ref="F164" ca="1">IF(ROWS(D$18:D164)&gt;F$8-F$7+1,
   NA(),
   IF(OR(F$7="",F$8="",F$7=F$8),
      NA(),
      (INDIRECT(ADDRESS(F$7+ROWS($B$18:D164)-1,COLUMN(INDIRECT(F$9&amp;1)),,,F$6))-F$10)/(F$11-F$10)*(F$13-F$12))*IF(F$14&lt;&gt;"",F$14,1))</f>
        <v>#N/A</v>
      </c>
      <c r="I164" s="3" t="e" cm="1">
        <f t="array" aca="1" ref="I164" ca="1">IF(ROWS(G$18:G164)&gt;I$8-I$7+1,
   NA(),
   IF(OR(I$7="",I$8="",I$7=I$8),
      NA(),
      (INDIRECT(ADDRESS(I$7+ROWS($B$18:G164)-1,COLUMN(INDIRECT(I$9&amp;1)),,,I$6))-I$10)/(I$11-I$10)*(I$13-I$12))*IF(I$14&lt;&gt;"",I$14,1))</f>
        <v>#N/A</v>
      </c>
      <c r="J164" s="4" t="e" cm="1">
        <f t="array" aca="1" ref="J164" ca="1">IF(ROWS(H$18:H164)&gt;J$8-J$7+1,
   NA(),
   IF(OR(J$7="",J$8="",J$7=J$8),
      NA(),
      (INDIRECT(ADDRESS(J$7+ROWS($B$18:H164)-1,COLUMN(INDIRECT(J$9&amp;1)),,,J$6))-J$10)/(J$11-J$10)*(J$13-J$12))*IF(J$14&lt;&gt;"",J$14,1))</f>
        <v>#N/A</v>
      </c>
      <c r="K164" s="4" t="e" cm="1">
        <f t="array" aca="1" ref="K164" ca="1">IF(ROWS(I$18:I164)&gt;K$8-K$7+1,
   NA(),
   IF(OR(K$7="",K$8="",K$7=K$8),
      NA(),
      (INDIRECT(ADDRESS(K$7+ROWS($B$18:I164)-1,COLUMN(INDIRECT(K$9&amp;1)),,,K$6))-K$10)/(K$11-K$10)*(K$13-K$12))*IF(K$14&lt;&gt;"",K$14,1))</f>
        <v>#N/A</v>
      </c>
      <c r="L164" s="4" t="e" cm="1">
        <f t="array" aca="1" ref="L164" ca="1">IF(ROWS(J$18:J164)&gt;L$8-L$7+1,
   NA(),
   IF(OR(L$7="",L$8="",L$7=L$8),
      NA(),
      (INDIRECT(ADDRESS(L$7+ROWS($B$18:J164)-1,COLUMN(INDIRECT(L$9&amp;1)),,,L$6))-L$10)/(L$11-L$10)*(L$13-L$12))*IF(L$14&lt;&gt;"",L$14,1))</f>
        <v>#N/A</v>
      </c>
    </row>
    <row r="165" spans="3:12" x14ac:dyDescent="0.2">
      <c r="C165" s="3" t="e" cm="1">
        <f t="array" aca="1" ref="C165" ca="1">IF(ROWS(A$18:A165)&gt;C$8-C$7+1,
   NA(),
   IF(OR(C$7="",C$8="",C$7=C$8),
      NA(),
      (INDIRECT(ADDRESS(C$7+ROWS(A$18:$B165)-1,COLUMN(INDIRECT(C$9&amp;1)),,,C$6))-C$10)/(C$11-C$10)*(C$13-C$12))*IF(C$14&lt;&gt;"",C$14,1))</f>
        <v>#N/A</v>
      </c>
      <c r="D165" s="4" t="e" cm="1">
        <f t="array" aca="1" ref="D165" ca="1">IF(ROWS(B$18:B165)&gt;D$8-D$7+1,
   NA(),
   IF(OR(D$7="",D$8="",D$7=D$8),
      NA(),
      (INDIRECT(ADDRESS(D$7+ROWS($B$18:B165)-1,COLUMN(INDIRECT(D$9&amp;1)),,,D$6))-D$10)/(D$11-D$10)*(D$13-D$12))*IF(D$14&lt;&gt;"",D$14,1))</f>
        <v>#N/A</v>
      </c>
      <c r="E165" s="4" t="e" cm="1">
        <f t="array" aca="1" ref="E165" ca="1">IF(ROWS(C$18:C165)&gt;E$8-E$7+1,
   NA(),
   IF(OR(E$7="",E$8="",E$7=E$8),
      NA(),
      (INDIRECT(ADDRESS(E$7+ROWS($B$18:C165)-1,COLUMN(INDIRECT(E$9&amp;1)),,,E$6))-E$10)/(E$11-E$10)*(E$13-E$12))*IF(E$14&lt;&gt;"",E$14,1))</f>
        <v>#N/A</v>
      </c>
      <c r="F165" s="4" t="e" cm="1">
        <f t="array" aca="1" ref="F165" ca="1">IF(ROWS(D$18:D165)&gt;F$8-F$7+1,
   NA(),
   IF(OR(F$7="",F$8="",F$7=F$8),
      NA(),
      (INDIRECT(ADDRESS(F$7+ROWS($B$18:D165)-1,COLUMN(INDIRECT(F$9&amp;1)),,,F$6))-F$10)/(F$11-F$10)*(F$13-F$12))*IF(F$14&lt;&gt;"",F$14,1))</f>
        <v>#N/A</v>
      </c>
      <c r="I165" s="3" t="e" cm="1">
        <f t="array" aca="1" ref="I165" ca="1">IF(ROWS(G$18:G165)&gt;I$8-I$7+1,
   NA(),
   IF(OR(I$7="",I$8="",I$7=I$8),
      NA(),
      (INDIRECT(ADDRESS(I$7+ROWS($B$18:G165)-1,COLUMN(INDIRECT(I$9&amp;1)),,,I$6))-I$10)/(I$11-I$10)*(I$13-I$12))*IF(I$14&lt;&gt;"",I$14,1))</f>
        <v>#N/A</v>
      </c>
      <c r="J165" s="4" t="e" cm="1">
        <f t="array" aca="1" ref="J165" ca="1">IF(ROWS(H$18:H165)&gt;J$8-J$7+1,
   NA(),
   IF(OR(J$7="",J$8="",J$7=J$8),
      NA(),
      (INDIRECT(ADDRESS(J$7+ROWS($B$18:H165)-1,COLUMN(INDIRECT(J$9&amp;1)),,,J$6))-J$10)/(J$11-J$10)*(J$13-J$12))*IF(J$14&lt;&gt;"",J$14,1))</f>
        <v>#N/A</v>
      </c>
      <c r="K165" s="4" t="e" cm="1">
        <f t="array" aca="1" ref="K165" ca="1">IF(ROWS(I$18:I165)&gt;K$8-K$7+1,
   NA(),
   IF(OR(K$7="",K$8="",K$7=K$8),
      NA(),
      (INDIRECT(ADDRESS(K$7+ROWS($B$18:I165)-1,COLUMN(INDIRECT(K$9&amp;1)),,,K$6))-K$10)/(K$11-K$10)*(K$13-K$12))*IF(K$14&lt;&gt;"",K$14,1))</f>
        <v>#N/A</v>
      </c>
      <c r="L165" s="4" t="e" cm="1">
        <f t="array" aca="1" ref="L165" ca="1">IF(ROWS(J$18:J165)&gt;L$8-L$7+1,
   NA(),
   IF(OR(L$7="",L$8="",L$7=L$8),
      NA(),
      (INDIRECT(ADDRESS(L$7+ROWS($B$18:J165)-1,COLUMN(INDIRECT(L$9&amp;1)),,,L$6))-L$10)/(L$11-L$10)*(L$13-L$12))*IF(L$14&lt;&gt;"",L$14,1))</f>
        <v>#N/A</v>
      </c>
    </row>
    <row r="166" spans="3:12" x14ac:dyDescent="0.2">
      <c r="C166" s="3" t="e" cm="1">
        <f t="array" aca="1" ref="C166" ca="1">IF(ROWS(A$18:A166)&gt;C$8-C$7+1,
   NA(),
   IF(OR(C$7="",C$8="",C$7=C$8),
      NA(),
      (INDIRECT(ADDRESS(C$7+ROWS(A$18:$B166)-1,COLUMN(INDIRECT(C$9&amp;1)),,,C$6))-C$10)/(C$11-C$10)*(C$13-C$12))*IF(C$14&lt;&gt;"",C$14,1))</f>
        <v>#N/A</v>
      </c>
      <c r="D166" s="4" t="e" cm="1">
        <f t="array" aca="1" ref="D166" ca="1">IF(ROWS(B$18:B166)&gt;D$8-D$7+1,
   NA(),
   IF(OR(D$7="",D$8="",D$7=D$8),
      NA(),
      (INDIRECT(ADDRESS(D$7+ROWS($B$18:B166)-1,COLUMN(INDIRECT(D$9&amp;1)),,,D$6))-D$10)/(D$11-D$10)*(D$13-D$12))*IF(D$14&lt;&gt;"",D$14,1))</f>
        <v>#N/A</v>
      </c>
      <c r="E166" s="4" t="e" cm="1">
        <f t="array" aca="1" ref="E166" ca="1">IF(ROWS(C$18:C166)&gt;E$8-E$7+1,
   NA(),
   IF(OR(E$7="",E$8="",E$7=E$8),
      NA(),
      (INDIRECT(ADDRESS(E$7+ROWS($B$18:C166)-1,COLUMN(INDIRECT(E$9&amp;1)),,,E$6))-E$10)/(E$11-E$10)*(E$13-E$12))*IF(E$14&lt;&gt;"",E$14,1))</f>
        <v>#N/A</v>
      </c>
      <c r="F166" s="4" t="e" cm="1">
        <f t="array" aca="1" ref="F166" ca="1">IF(ROWS(D$18:D166)&gt;F$8-F$7+1,
   NA(),
   IF(OR(F$7="",F$8="",F$7=F$8),
      NA(),
      (INDIRECT(ADDRESS(F$7+ROWS($B$18:D166)-1,COLUMN(INDIRECT(F$9&amp;1)),,,F$6))-F$10)/(F$11-F$10)*(F$13-F$12))*IF(F$14&lt;&gt;"",F$14,1))</f>
        <v>#N/A</v>
      </c>
      <c r="I166" s="3" t="e" cm="1">
        <f t="array" aca="1" ref="I166" ca="1">IF(ROWS(G$18:G166)&gt;I$8-I$7+1,
   NA(),
   IF(OR(I$7="",I$8="",I$7=I$8),
      NA(),
      (INDIRECT(ADDRESS(I$7+ROWS($B$18:G166)-1,COLUMN(INDIRECT(I$9&amp;1)),,,I$6))-I$10)/(I$11-I$10)*(I$13-I$12))*IF(I$14&lt;&gt;"",I$14,1))</f>
        <v>#N/A</v>
      </c>
      <c r="J166" s="4" t="e" cm="1">
        <f t="array" aca="1" ref="J166" ca="1">IF(ROWS(H$18:H166)&gt;J$8-J$7+1,
   NA(),
   IF(OR(J$7="",J$8="",J$7=J$8),
      NA(),
      (INDIRECT(ADDRESS(J$7+ROWS($B$18:H166)-1,COLUMN(INDIRECT(J$9&amp;1)),,,J$6))-J$10)/(J$11-J$10)*(J$13-J$12))*IF(J$14&lt;&gt;"",J$14,1))</f>
        <v>#N/A</v>
      </c>
      <c r="K166" s="4" t="e" cm="1">
        <f t="array" aca="1" ref="K166" ca="1">IF(ROWS(I$18:I166)&gt;K$8-K$7+1,
   NA(),
   IF(OR(K$7="",K$8="",K$7=K$8),
      NA(),
      (INDIRECT(ADDRESS(K$7+ROWS($B$18:I166)-1,COLUMN(INDIRECT(K$9&amp;1)),,,K$6))-K$10)/(K$11-K$10)*(K$13-K$12))*IF(K$14&lt;&gt;"",K$14,1))</f>
        <v>#N/A</v>
      </c>
      <c r="L166" s="4" t="e" cm="1">
        <f t="array" aca="1" ref="L166" ca="1">IF(ROWS(J$18:J166)&gt;L$8-L$7+1,
   NA(),
   IF(OR(L$7="",L$8="",L$7=L$8),
      NA(),
      (INDIRECT(ADDRESS(L$7+ROWS($B$18:J166)-1,COLUMN(INDIRECT(L$9&amp;1)),,,L$6))-L$10)/(L$11-L$10)*(L$13-L$12))*IF(L$14&lt;&gt;"",L$14,1))</f>
        <v>#N/A</v>
      </c>
    </row>
    <row r="167" spans="3:12" x14ac:dyDescent="0.2">
      <c r="C167" s="3" t="e" cm="1">
        <f t="array" aca="1" ref="C167" ca="1">IF(ROWS(A$18:A167)&gt;C$8-C$7+1,
   NA(),
   IF(OR(C$7="",C$8="",C$7=C$8),
      NA(),
      (INDIRECT(ADDRESS(C$7+ROWS(A$18:$B167)-1,COLUMN(INDIRECT(C$9&amp;1)),,,C$6))-C$10)/(C$11-C$10)*(C$13-C$12))*IF(C$14&lt;&gt;"",C$14,1))</f>
        <v>#N/A</v>
      </c>
      <c r="D167" s="4" t="e" cm="1">
        <f t="array" aca="1" ref="D167" ca="1">IF(ROWS(B$18:B167)&gt;D$8-D$7+1,
   NA(),
   IF(OR(D$7="",D$8="",D$7=D$8),
      NA(),
      (INDIRECT(ADDRESS(D$7+ROWS($B$18:B167)-1,COLUMN(INDIRECT(D$9&amp;1)),,,D$6))-D$10)/(D$11-D$10)*(D$13-D$12))*IF(D$14&lt;&gt;"",D$14,1))</f>
        <v>#N/A</v>
      </c>
      <c r="E167" s="4" t="e" cm="1">
        <f t="array" aca="1" ref="E167" ca="1">IF(ROWS(C$18:C167)&gt;E$8-E$7+1,
   NA(),
   IF(OR(E$7="",E$8="",E$7=E$8),
      NA(),
      (INDIRECT(ADDRESS(E$7+ROWS($B$18:C167)-1,COLUMN(INDIRECT(E$9&amp;1)),,,E$6))-E$10)/(E$11-E$10)*(E$13-E$12))*IF(E$14&lt;&gt;"",E$14,1))</f>
        <v>#N/A</v>
      </c>
      <c r="F167" s="4" t="e" cm="1">
        <f t="array" aca="1" ref="F167" ca="1">IF(ROWS(D$18:D167)&gt;F$8-F$7+1,
   NA(),
   IF(OR(F$7="",F$8="",F$7=F$8),
      NA(),
      (INDIRECT(ADDRESS(F$7+ROWS($B$18:D167)-1,COLUMN(INDIRECT(F$9&amp;1)),,,F$6))-F$10)/(F$11-F$10)*(F$13-F$12))*IF(F$14&lt;&gt;"",F$14,1))</f>
        <v>#N/A</v>
      </c>
      <c r="I167" s="3" t="e" cm="1">
        <f t="array" aca="1" ref="I167" ca="1">IF(ROWS(G$18:G167)&gt;I$8-I$7+1,
   NA(),
   IF(OR(I$7="",I$8="",I$7=I$8),
      NA(),
      (INDIRECT(ADDRESS(I$7+ROWS($B$18:G167)-1,COLUMN(INDIRECT(I$9&amp;1)),,,I$6))-I$10)/(I$11-I$10)*(I$13-I$12))*IF(I$14&lt;&gt;"",I$14,1))</f>
        <v>#N/A</v>
      </c>
      <c r="J167" s="4" t="e" cm="1">
        <f t="array" aca="1" ref="J167" ca="1">IF(ROWS(H$18:H167)&gt;J$8-J$7+1,
   NA(),
   IF(OR(J$7="",J$8="",J$7=J$8),
      NA(),
      (INDIRECT(ADDRESS(J$7+ROWS($B$18:H167)-1,COLUMN(INDIRECT(J$9&amp;1)),,,J$6))-J$10)/(J$11-J$10)*(J$13-J$12))*IF(J$14&lt;&gt;"",J$14,1))</f>
        <v>#N/A</v>
      </c>
      <c r="K167" s="4" t="e" cm="1">
        <f t="array" aca="1" ref="K167" ca="1">IF(ROWS(I$18:I167)&gt;K$8-K$7+1,
   NA(),
   IF(OR(K$7="",K$8="",K$7=K$8),
      NA(),
      (INDIRECT(ADDRESS(K$7+ROWS($B$18:I167)-1,COLUMN(INDIRECT(K$9&amp;1)),,,K$6))-K$10)/(K$11-K$10)*(K$13-K$12))*IF(K$14&lt;&gt;"",K$14,1))</f>
        <v>#N/A</v>
      </c>
      <c r="L167" s="4" t="e" cm="1">
        <f t="array" aca="1" ref="L167" ca="1">IF(ROWS(J$18:J167)&gt;L$8-L$7+1,
   NA(),
   IF(OR(L$7="",L$8="",L$7=L$8),
      NA(),
      (INDIRECT(ADDRESS(L$7+ROWS($B$18:J167)-1,COLUMN(INDIRECT(L$9&amp;1)),,,L$6))-L$10)/(L$11-L$10)*(L$13-L$12))*IF(L$14&lt;&gt;"",L$14,1))</f>
        <v>#N/A</v>
      </c>
    </row>
    <row r="168" spans="3:12" x14ac:dyDescent="0.2">
      <c r="C168" s="3" t="e" cm="1">
        <f t="array" aca="1" ref="C168" ca="1">IF(ROWS(A$18:A168)&gt;C$8-C$7+1,
   NA(),
   IF(OR(C$7="",C$8="",C$7=C$8),
      NA(),
      (INDIRECT(ADDRESS(C$7+ROWS(A$18:$B168)-1,COLUMN(INDIRECT(C$9&amp;1)),,,C$6))-C$10)/(C$11-C$10)*(C$13-C$12))*IF(C$14&lt;&gt;"",C$14,1))</f>
        <v>#N/A</v>
      </c>
      <c r="D168" s="4" t="e" cm="1">
        <f t="array" aca="1" ref="D168" ca="1">IF(ROWS(B$18:B168)&gt;D$8-D$7+1,
   NA(),
   IF(OR(D$7="",D$8="",D$7=D$8),
      NA(),
      (INDIRECT(ADDRESS(D$7+ROWS($B$18:B168)-1,COLUMN(INDIRECT(D$9&amp;1)),,,D$6))-D$10)/(D$11-D$10)*(D$13-D$12))*IF(D$14&lt;&gt;"",D$14,1))</f>
        <v>#N/A</v>
      </c>
      <c r="E168" s="4" t="e" cm="1">
        <f t="array" aca="1" ref="E168" ca="1">IF(ROWS(C$18:C168)&gt;E$8-E$7+1,
   NA(),
   IF(OR(E$7="",E$8="",E$7=E$8),
      NA(),
      (INDIRECT(ADDRESS(E$7+ROWS($B$18:C168)-1,COLUMN(INDIRECT(E$9&amp;1)),,,E$6))-E$10)/(E$11-E$10)*(E$13-E$12))*IF(E$14&lt;&gt;"",E$14,1))</f>
        <v>#N/A</v>
      </c>
      <c r="F168" s="4" t="e" cm="1">
        <f t="array" aca="1" ref="F168" ca="1">IF(ROWS(D$18:D168)&gt;F$8-F$7+1,
   NA(),
   IF(OR(F$7="",F$8="",F$7=F$8),
      NA(),
      (INDIRECT(ADDRESS(F$7+ROWS($B$18:D168)-1,COLUMN(INDIRECT(F$9&amp;1)),,,F$6))-F$10)/(F$11-F$10)*(F$13-F$12))*IF(F$14&lt;&gt;"",F$14,1))</f>
        <v>#N/A</v>
      </c>
      <c r="I168" s="3" t="e" cm="1">
        <f t="array" aca="1" ref="I168" ca="1">IF(ROWS(G$18:G168)&gt;I$8-I$7+1,
   NA(),
   IF(OR(I$7="",I$8="",I$7=I$8),
      NA(),
      (INDIRECT(ADDRESS(I$7+ROWS($B$18:G168)-1,COLUMN(INDIRECT(I$9&amp;1)),,,I$6))-I$10)/(I$11-I$10)*(I$13-I$12))*IF(I$14&lt;&gt;"",I$14,1))</f>
        <v>#N/A</v>
      </c>
      <c r="J168" s="4" t="e" cm="1">
        <f t="array" aca="1" ref="J168" ca="1">IF(ROWS(H$18:H168)&gt;J$8-J$7+1,
   NA(),
   IF(OR(J$7="",J$8="",J$7=J$8),
      NA(),
      (INDIRECT(ADDRESS(J$7+ROWS($B$18:H168)-1,COLUMN(INDIRECT(J$9&amp;1)),,,J$6))-J$10)/(J$11-J$10)*(J$13-J$12))*IF(J$14&lt;&gt;"",J$14,1))</f>
        <v>#N/A</v>
      </c>
      <c r="K168" s="4" t="e" cm="1">
        <f t="array" aca="1" ref="K168" ca="1">IF(ROWS(I$18:I168)&gt;K$8-K$7+1,
   NA(),
   IF(OR(K$7="",K$8="",K$7=K$8),
      NA(),
      (INDIRECT(ADDRESS(K$7+ROWS($B$18:I168)-1,COLUMN(INDIRECT(K$9&amp;1)),,,K$6))-K$10)/(K$11-K$10)*(K$13-K$12))*IF(K$14&lt;&gt;"",K$14,1))</f>
        <v>#N/A</v>
      </c>
      <c r="L168" s="4" t="e" cm="1">
        <f t="array" aca="1" ref="L168" ca="1">IF(ROWS(J$18:J168)&gt;L$8-L$7+1,
   NA(),
   IF(OR(L$7="",L$8="",L$7=L$8),
      NA(),
      (INDIRECT(ADDRESS(L$7+ROWS($B$18:J168)-1,COLUMN(INDIRECT(L$9&amp;1)),,,L$6))-L$10)/(L$11-L$10)*(L$13-L$12))*IF(L$14&lt;&gt;"",L$14,1))</f>
        <v>#N/A</v>
      </c>
    </row>
    <row r="169" spans="3:12" x14ac:dyDescent="0.2">
      <c r="C169" s="3" t="e" cm="1">
        <f t="array" aca="1" ref="C169" ca="1">IF(ROWS(A$18:A169)&gt;C$8-C$7+1,
   NA(),
   IF(OR(C$7="",C$8="",C$7=C$8),
      NA(),
      (INDIRECT(ADDRESS(C$7+ROWS(A$18:$B169)-1,COLUMN(INDIRECT(C$9&amp;1)),,,C$6))-C$10)/(C$11-C$10)*(C$13-C$12))*IF(C$14&lt;&gt;"",C$14,1))</f>
        <v>#N/A</v>
      </c>
      <c r="D169" s="4" t="e" cm="1">
        <f t="array" aca="1" ref="D169" ca="1">IF(ROWS(B$18:B169)&gt;D$8-D$7+1,
   NA(),
   IF(OR(D$7="",D$8="",D$7=D$8),
      NA(),
      (INDIRECT(ADDRESS(D$7+ROWS($B$18:B169)-1,COLUMN(INDIRECT(D$9&amp;1)),,,D$6))-D$10)/(D$11-D$10)*(D$13-D$12))*IF(D$14&lt;&gt;"",D$14,1))</f>
        <v>#N/A</v>
      </c>
      <c r="E169" s="4" t="e" cm="1">
        <f t="array" aca="1" ref="E169" ca="1">IF(ROWS(C$18:C169)&gt;E$8-E$7+1,
   NA(),
   IF(OR(E$7="",E$8="",E$7=E$8),
      NA(),
      (INDIRECT(ADDRESS(E$7+ROWS($B$18:C169)-1,COLUMN(INDIRECT(E$9&amp;1)),,,E$6))-E$10)/(E$11-E$10)*(E$13-E$12))*IF(E$14&lt;&gt;"",E$14,1))</f>
        <v>#N/A</v>
      </c>
      <c r="F169" s="4" t="e" cm="1">
        <f t="array" aca="1" ref="F169" ca="1">IF(ROWS(D$18:D169)&gt;F$8-F$7+1,
   NA(),
   IF(OR(F$7="",F$8="",F$7=F$8),
      NA(),
      (INDIRECT(ADDRESS(F$7+ROWS($B$18:D169)-1,COLUMN(INDIRECT(F$9&amp;1)),,,F$6))-F$10)/(F$11-F$10)*(F$13-F$12))*IF(F$14&lt;&gt;"",F$14,1))</f>
        <v>#N/A</v>
      </c>
      <c r="I169" s="3" t="e" cm="1">
        <f t="array" aca="1" ref="I169" ca="1">IF(ROWS(G$18:G169)&gt;I$8-I$7+1,
   NA(),
   IF(OR(I$7="",I$8="",I$7=I$8),
      NA(),
      (INDIRECT(ADDRESS(I$7+ROWS($B$18:G169)-1,COLUMN(INDIRECT(I$9&amp;1)),,,I$6))-I$10)/(I$11-I$10)*(I$13-I$12))*IF(I$14&lt;&gt;"",I$14,1))</f>
        <v>#N/A</v>
      </c>
      <c r="J169" s="4" t="e" cm="1">
        <f t="array" aca="1" ref="J169" ca="1">IF(ROWS(H$18:H169)&gt;J$8-J$7+1,
   NA(),
   IF(OR(J$7="",J$8="",J$7=J$8),
      NA(),
      (INDIRECT(ADDRESS(J$7+ROWS($B$18:H169)-1,COLUMN(INDIRECT(J$9&amp;1)),,,J$6))-J$10)/(J$11-J$10)*(J$13-J$12))*IF(J$14&lt;&gt;"",J$14,1))</f>
        <v>#N/A</v>
      </c>
      <c r="K169" s="4" t="e" cm="1">
        <f t="array" aca="1" ref="K169" ca="1">IF(ROWS(I$18:I169)&gt;K$8-K$7+1,
   NA(),
   IF(OR(K$7="",K$8="",K$7=K$8),
      NA(),
      (INDIRECT(ADDRESS(K$7+ROWS($B$18:I169)-1,COLUMN(INDIRECT(K$9&amp;1)),,,K$6))-K$10)/(K$11-K$10)*(K$13-K$12))*IF(K$14&lt;&gt;"",K$14,1))</f>
        <v>#N/A</v>
      </c>
      <c r="L169" s="4" t="e" cm="1">
        <f t="array" aca="1" ref="L169" ca="1">IF(ROWS(J$18:J169)&gt;L$8-L$7+1,
   NA(),
   IF(OR(L$7="",L$8="",L$7=L$8),
      NA(),
      (INDIRECT(ADDRESS(L$7+ROWS($B$18:J169)-1,COLUMN(INDIRECT(L$9&amp;1)),,,L$6))-L$10)/(L$11-L$10)*(L$13-L$12))*IF(L$14&lt;&gt;"",L$14,1))</f>
        <v>#N/A</v>
      </c>
    </row>
    <row r="170" spans="3:12" x14ac:dyDescent="0.2">
      <c r="C170" s="3" t="e" cm="1">
        <f t="array" aca="1" ref="C170" ca="1">IF(ROWS(A$18:A170)&gt;C$8-C$7+1,
   NA(),
   IF(OR(C$7="",C$8="",C$7=C$8),
      NA(),
      (INDIRECT(ADDRESS(C$7+ROWS(A$18:$B170)-1,COLUMN(INDIRECT(C$9&amp;1)),,,C$6))-C$10)/(C$11-C$10)*(C$13-C$12))*IF(C$14&lt;&gt;"",C$14,1))</f>
        <v>#N/A</v>
      </c>
      <c r="D170" s="4" t="e" cm="1">
        <f t="array" aca="1" ref="D170" ca="1">IF(ROWS(B$18:B170)&gt;D$8-D$7+1,
   NA(),
   IF(OR(D$7="",D$8="",D$7=D$8),
      NA(),
      (INDIRECT(ADDRESS(D$7+ROWS($B$18:B170)-1,COLUMN(INDIRECT(D$9&amp;1)),,,D$6))-D$10)/(D$11-D$10)*(D$13-D$12))*IF(D$14&lt;&gt;"",D$14,1))</f>
        <v>#N/A</v>
      </c>
      <c r="E170" s="4" t="e" cm="1">
        <f t="array" aca="1" ref="E170" ca="1">IF(ROWS(C$18:C170)&gt;E$8-E$7+1,
   NA(),
   IF(OR(E$7="",E$8="",E$7=E$8),
      NA(),
      (INDIRECT(ADDRESS(E$7+ROWS($B$18:C170)-1,COLUMN(INDIRECT(E$9&amp;1)),,,E$6))-E$10)/(E$11-E$10)*(E$13-E$12))*IF(E$14&lt;&gt;"",E$14,1))</f>
        <v>#N/A</v>
      </c>
      <c r="F170" s="4" t="e" cm="1">
        <f t="array" aca="1" ref="F170" ca="1">IF(ROWS(D$18:D170)&gt;F$8-F$7+1,
   NA(),
   IF(OR(F$7="",F$8="",F$7=F$8),
      NA(),
      (INDIRECT(ADDRESS(F$7+ROWS($B$18:D170)-1,COLUMN(INDIRECT(F$9&amp;1)),,,F$6))-F$10)/(F$11-F$10)*(F$13-F$12))*IF(F$14&lt;&gt;"",F$14,1))</f>
        <v>#N/A</v>
      </c>
      <c r="I170" s="3" t="e" cm="1">
        <f t="array" aca="1" ref="I170" ca="1">IF(ROWS(G$18:G170)&gt;I$8-I$7+1,
   NA(),
   IF(OR(I$7="",I$8="",I$7=I$8),
      NA(),
      (INDIRECT(ADDRESS(I$7+ROWS($B$18:G170)-1,COLUMN(INDIRECT(I$9&amp;1)),,,I$6))-I$10)/(I$11-I$10)*(I$13-I$12))*IF(I$14&lt;&gt;"",I$14,1))</f>
        <v>#N/A</v>
      </c>
      <c r="J170" s="4" t="e" cm="1">
        <f t="array" aca="1" ref="J170" ca="1">IF(ROWS(H$18:H170)&gt;J$8-J$7+1,
   NA(),
   IF(OR(J$7="",J$8="",J$7=J$8),
      NA(),
      (INDIRECT(ADDRESS(J$7+ROWS($B$18:H170)-1,COLUMN(INDIRECT(J$9&amp;1)),,,J$6))-J$10)/(J$11-J$10)*(J$13-J$12))*IF(J$14&lt;&gt;"",J$14,1))</f>
        <v>#N/A</v>
      </c>
      <c r="K170" s="4" t="e" cm="1">
        <f t="array" aca="1" ref="K170" ca="1">IF(ROWS(I$18:I170)&gt;K$8-K$7+1,
   NA(),
   IF(OR(K$7="",K$8="",K$7=K$8),
      NA(),
      (INDIRECT(ADDRESS(K$7+ROWS($B$18:I170)-1,COLUMN(INDIRECT(K$9&amp;1)),,,K$6))-K$10)/(K$11-K$10)*(K$13-K$12))*IF(K$14&lt;&gt;"",K$14,1))</f>
        <v>#N/A</v>
      </c>
      <c r="L170" s="4" t="e" cm="1">
        <f t="array" aca="1" ref="L170" ca="1">IF(ROWS(J$18:J170)&gt;L$8-L$7+1,
   NA(),
   IF(OR(L$7="",L$8="",L$7=L$8),
      NA(),
      (INDIRECT(ADDRESS(L$7+ROWS($B$18:J170)-1,COLUMN(INDIRECT(L$9&amp;1)),,,L$6))-L$10)/(L$11-L$10)*(L$13-L$12))*IF(L$14&lt;&gt;"",L$14,1))</f>
        <v>#N/A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Oureprofiles</vt:lpstr>
      <vt:lpstr>sæt1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Lars Riis Damgaard</cp:lastModifiedBy>
  <cp:lastPrinted>2026-09-30T23:16:36Z</cp:lastPrinted>
  <dcterms:created xsi:type="dcterms:W3CDTF">2003-08-27T16:40:13Z</dcterms:created>
  <dcterms:modified xsi:type="dcterms:W3CDTF">2026-10-13T07:15:39Z</dcterms:modified>
</cp:coreProperties>
</file>